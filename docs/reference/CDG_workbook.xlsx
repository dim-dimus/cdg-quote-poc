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E0F0FF2-5147-4E83-A3D7-562F78D21366}" xr6:coauthVersionLast="47" xr6:coauthVersionMax="47" xr10:uidLastSave="{00000000-0000-0000-0000-000000000000}"/>
  <bookViews>
    <workbookView xWindow="2800" yWindow="0" windowWidth="30530" windowHeight="13680" xr2:uid="{00000000-000D-0000-FFFF-FFFF00000000}"/>
  </bookViews>
  <sheets>
    <sheet name="Front Desk" sheetId="1" r:id="rId1"/>
    <sheet name="Vehicle Data" sheetId="2" r:id="rId2"/>
    <sheet name="Rates" sheetId="3" r:id="rId3"/>
    <sheet name="Shop Settings" sheetId="4" r:id="rId4"/>
    <sheet name="AddOns" sheetId="5" r:id="rId5"/>
    <sheet name="Quote Output" sheetId="6" r:id="rId6"/>
    <sheet name="Job Tracker" sheetId="7" r:id="rId7"/>
    <sheet name="Dashboard" sheetId="8" r:id="rId8"/>
    <sheet name="Read Me" sheetId="9" r:id="rId9"/>
  </sheets>
  <definedNames>
    <definedName name="_xlnm.Print_Area" localSheetId="0">'Front Desk'!$A$1:$L$21</definedName>
    <definedName name="_xlnm.Print_Area" localSheetId="5">'Quote Output'!$A$1:$H$31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 i="1" l="1"/>
  <c r="Q11" i="1"/>
  <c r="G7" i="1"/>
  <c r="B18" i="8"/>
  <c r="B17" i="8"/>
  <c r="B16" i="8"/>
  <c r="B15" i="8"/>
  <c r="B14" i="8"/>
  <c r="B13" i="8"/>
  <c r="B12" i="8"/>
  <c r="B11" i="8"/>
  <c r="G7" i="8"/>
  <c r="E7" i="8"/>
  <c r="I4" i="8"/>
  <c r="G4" i="8"/>
  <c r="C4" i="8"/>
  <c r="A4" i="8"/>
  <c r="I201" i="7"/>
  <c r="H201" i="7"/>
  <c r="A201" i="7"/>
  <c r="I200" i="7"/>
  <c r="H200" i="7"/>
  <c r="A200" i="7"/>
  <c r="I199" i="7"/>
  <c r="H199" i="7"/>
  <c r="A199" i="7"/>
  <c r="I198" i="7"/>
  <c r="H198" i="7"/>
  <c r="A198" i="7"/>
  <c r="I197" i="7"/>
  <c r="H197" i="7"/>
  <c r="A197" i="7"/>
  <c r="I196" i="7"/>
  <c r="H196" i="7"/>
  <c r="A196" i="7"/>
  <c r="I195" i="7"/>
  <c r="H195" i="7"/>
  <c r="A195" i="7"/>
  <c r="I194" i="7"/>
  <c r="H194" i="7"/>
  <c r="A194" i="7"/>
  <c r="I193" i="7"/>
  <c r="H193" i="7"/>
  <c r="A193" i="7"/>
  <c r="I192" i="7"/>
  <c r="H192" i="7"/>
  <c r="A192" i="7"/>
  <c r="I191" i="7"/>
  <c r="H191" i="7"/>
  <c r="A191" i="7"/>
  <c r="I190" i="7"/>
  <c r="H190" i="7"/>
  <c r="A190" i="7"/>
  <c r="I189" i="7"/>
  <c r="H189" i="7"/>
  <c r="A189" i="7"/>
  <c r="I188" i="7"/>
  <c r="H188" i="7"/>
  <c r="A188" i="7"/>
  <c r="I187" i="7"/>
  <c r="H187" i="7"/>
  <c r="A187" i="7"/>
  <c r="I186" i="7"/>
  <c r="H186" i="7"/>
  <c r="A186" i="7"/>
  <c r="I185" i="7"/>
  <c r="H185" i="7"/>
  <c r="A185" i="7"/>
  <c r="I184" i="7"/>
  <c r="H184" i="7"/>
  <c r="A184" i="7"/>
  <c r="I183" i="7"/>
  <c r="H183" i="7"/>
  <c r="A183" i="7"/>
  <c r="I182" i="7"/>
  <c r="H182" i="7"/>
  <c r="A182" i="7"/>
  <c r="I181" i="7"/>
  <c r="H181" i="7"/>
  <c r="A181" i="7"/>
  <c r="I180" i="7"/>
  <c r="H180" i="7"/>
  <c r="A180" i="7"/>
  <c r="I179" i="7"/>
  <c r="H179" i="7"/>
  <c r="A179" i="7"/>
  <c r="I178" i="7"/>
  <c r="H178" i="7"/>
  <c r="A178" i="7"/>
  <c r="I177" i="7"/>
  <c r="H177" i="7"/>
  <c r="A177" i="7"/>
  <c r="I176" i="7"/>
  <c r="H176" i="7"/>
  <c r="A176" i="7"/>
  <c r="I175" i="7"/>
  <c r="H175" i="7"/>
  <c r="A175" i="7"/>
  <c r="I174" i="7"/>
  <c r="H174" i="7"/>
  <c r="A174" i="7"/>
  <c r="I173" i="7"/>
  <c r="H173" i="7"/>
  <c r="A173" i="7"/>
  <c r="I172" i="7"/>
  <c r="H172" i="7"/>
  <c r="A172" i="7"/>
  <c r="I171" i="7"/>
  <c r="H171" i="7"/>
  <c r="A171" i="7"/>
  <c r="I170" i="7"/>
  <c r="H170" i="7"/>
  <c r="A170" i="7"/>
  <c r="I169" i="7"/>
  <c r="H169" i="7"/>
  <c r="A169" i="7"/>
  <c r="I168" i="7"/>
  <c r="H168" i="7"/>
  <c r="A168" i="7"/>
  <c r="I167" i="7"/>
  <c r="H167" i="7"/>
  <c r="A167" i="7"/>
  <c r="I166" i="7"/>
  <c r="H166" i="7"/>
  <c r="A166" i="7"/>
  <c r="I165" i="7"/>
  <c r="H165" i="7"/>
  <c r="A165" i="7"/>
  <c r="I164" i="7"/>
  <c r="H164" i="7"/>
  <c r="A164" i="7"/>
  <c r="I163" i="7"/>
  <c r="H163" i="7"/>
  <c r="A163" i="7"/>
  <c r="I162" i="7"/>
  <c r="H162" i="7"/>
  <c r="A162" i="7"/>
  <c r="I161" i="7"/>
  <c r="H161" i="7"/>
  <c r="A161" i="7"/>
  <c r="I160" i="7"/>
  <c r="H160" i="7"/>
  <c r="A160" i="7"/>
  <c r="I159" i="7"/>
  <c r="H159" i="7"/>
  <c r="A159" i="7"/>
  <c r="I158" i="7"/>
  <c r="H158" i="7"/>
  <c r="A158" i="7"/>
  <c r="I157" i="7"/>
  <c r="H157" i="7"/>
  <c r="A157" i="7"/>
  <c r="I156" i="7"/>
  <c r="H156" i="7"/>
  <c r="A156" i="7"/>
  <c r="I155" i="7"/>
  <c r="H155" i="7"/>
  <c r="A155" i="7"/>
  <c r="I154" i="7"/>
  <c r="H154" i="7"/>
  <c r="A154" i="7"/>
  <c r="I153" i="7"/>
  <c r="H153" i="7"/>
  <c r="A153" i="7"/>
  <c r="I152" i="7"/>
  <c r="H152" i="7"/>
  <c r="A152" i="7"/>
  <c r="I151" i="7"/>
  <c r="H151" i="7"/>
  <c r="A151" i="7"/>
  <c r="I150" i="7"/>
  <c r="H150" i="7"/>
  <c r="A150" i="7"/>
  <c r="I149" i="7"/>
  <c r="H149" i="7"/>
  <c r="A149" i="7"/>
  <c r="I148" i="7"/>
  <c r="H148" i="7"/>
  <c r="A148" i="7"/>
  <c r="I147" i="7"/>
  <c r="H147" i="7"/>
  <c r="A147" i="7"/>
  <c r="I146" i="7"/>
  <c r="H146" i="7"/>
  <c r="A146" i="7"/>
  <c r="I145" i="7"/>
  <c r="H145" i="7"/>
  <c r="A145" i="7"/>
  <c r="I144" i="7"/>
  <c r="H144" i="7"/>
  <c r="A144" i="7"/>
  <c r="I143" i="7"/>
  <c r="H143" i="7"/>
  <c r="A143" i="7"/>
  <c r="I142" i="7"/>
  <c r="H142" i="7"/>
  <c r="A142" i="7"/>
  <c r="I141" i="7"/>
  <c r="H141" i="7"/>
  <c r="A141" i="7"/>
  <c r="I140" i="7"/>
  <c r="H140" i="7"/>
  <c r="A140" i="7"/>
  <c r="I139" i="7"/>
  <c r="H139" i="7"/>
  <c r="A139" i="7"/>
  <c r="I138" i="7"/>
  <c r="H138" i="7"/>
  <c r="A138" i="7"/>
  <c r="I137" i="7"/>
  <c r="H137" i="7"/>
  <c r="A137" i="7"/>
  <c r="I136" i="7"/>
  <c r="H136" i="7"/>
  <c r="A136" i="7"/>
  <c r="I135" i="7"/>
  <c r="H135" i="7"/>
  <c r="A135" i="7"/>
  <c r="I134" i="7"/>
  <c r="H134" i="7"/>
  <c r="A134" i="7"/>
  <c r="I133" i="7"/>
  <c r="H133" i="7"/>
  <c r="A133" i="7"/>
  <c r="I132" i="7"/>
  <c r="H132" i="7"/>
  <c r="A132" i="7"/>
  <c r="I131" i="7"/>
  <c r="H131" i="7"/>
  <c r="A131" i="7"/>
  <c r="I130" i="7"/>
  <c r="H130" i="7"/>
  <c r="A130" i="7"/>
  <c r="I129" i="7"/>
  <c r="H129" i="7"/>
  <c r="A129" i="7"/>
  <c r="I128" i="7"/>
  <c r="H128" i="7"/>
  <c r="A128" i="7"/>
  <c r="I127" i="7"/>
  <c r="H127" i="7"/>
  <c r="A127" i="7"/>
  <c r="I126" i="7"/>
  <c r="H126" i="7"/>
  <c r="A126" i="7"/>
  <c r="I125" i="7"/>
  <c r="H125" i="7"/>
  <c r="A125" i="7"/>
  <c r="I124" i="7"/>
  <c r="H124" i="7"/>
  <c r="A124" i="7"/>
  <c r="I123" i="7"/>
  <c r="H123" i="7"/>
  <c r="A123" i="7"/>
  <c r="I122" i="7"/>
  <c r="H122" i="7"/>
  <c r="A122" i="7"/>
  <c r="I121" i="7"/>
  <c r="H121" i="7"/>
  <c r="A121" i="7"/>
  <c r="I120" i="7"/>
  <c r="H120" i="7"/>
  <c r="A120" i="7"/>
  <c r="I119" i="7"/>
  <c r="H119" i="7"/>
  <c r="A119" i="7"/>
  <c r="I118" i="7"/>
  <c r="H118" i="7"/>
  <c r="A118" i="7"/>
  <c r="I117" i="7"/>
  <c r="H117" i="7"/>
  <c r="A117" i="7"/>
  <c r="I116" i="7"/>
  <c r="H116" i="7"/>
  <c r="A116" i="7"/>
  <c r="I115" i="7"/>
  <c r="H115" i="7"/>
  <c r="A115" i="7"/>
  <c r="I114" i="7"/>
  <c r="H114" i="7"/>
  <c r="A114" i="7"/>
  <c r="I113" i="7"/>
  <c r="H113" i="7"/>
  <c r="A113" i="7"/>
  <c r="I112" i="7"/>
  <c r="H112" i="7"/>
  <c r="A112" i="7"/>
  <c r="I111" i="7"/>
  <c r="H111" i="7"/>
  <c r="A111" i="7"/>
  <c r="I110" i="7"/>
  <c r="H110" i="7"/>
  <c r="A110" i="7"/>
  <c r="I109" i="7"/>
  <c r="H109" i="7"/>
  <c r="A109" i="7"/>
  <c r="I108" i="7"/>
  <c r="H108" i="7"/>
  <c r="A108" i="7"/>
  <c r="I107" i="7"/>
  <c r="H107" i="7"/>
  <c r="A107" i="7"/>
  <c r="I106" i="7"/>
  <c r="H106" i="7"/>
  <c r="A106" i="7"/>
  <c r="I105" i="7"/>
  <c r="H105" i="7"/>
  <c r="A105" i="7"/>
  <c r="I104" i="7"/>
  <c r="H104" i="7"/>
  <c r="A104" i="7"/>
  <c r="I103" i="7"/>
  <c r="H103" i="7"/>
  <c r="A103" i="7"/>
  <c r="I102" i="7"/>
  <c r="H102" i="7"/>
  <c r="A102" i="7"/>
  <c r="I101" i="7"/>
  <c r="H101" i="7"/>
  <c r="A101" i="7"/>
  <c r="I100" i="7"/>
  <c r="H100" i="7"/>
  <c r="A100" i="7"/>
  <c r="I99" i="7"/>
  <c r="H99" i="7"/>
  <c r="A99" i="7"/>
  <c r="I98" i="7"/>
  <c r="H98" i="7"/>
  <c r="A98" i="7"/>
  <c r="I97" i="7"/>
  <c r="H97" i="7"/>
  <c r="A97" i="7"/>
  <c r="I96" i="7"/>
  <c r="H96" i="7"/>
  <c r="A96" i="7"/>
  <c r="I95" i="7"/>
  <c r="H95" i="7"/>
  <c r="A95" i="7"/>
  <c r="I94" i="7"/>
  <c r="H94" i="7"/>
  <c r="A94" i="7"/>
  <c r="I93" i="7"/>
  <c r="H93" i="7"/>
  <c r="A93" i="7"/>
  <c r="I92" i="7"/>
  <c r="H92" i="7"/>
  <c r="A92" i="7"/>
  <c r="I91" i="7"/>
  <c r="H91" i="7"/>
  <c r="A91" i="7"/>
  <c r="I90" i="7"/>
  <c r="H90" i="7"/>
  <c r="A90" i="7"/>
  <c r="I89" i="7"/>
  <c r="H89" i="7"/>
  <c r="A89" i="7"/>
  <c r="I88" i="7"/>
  <c r="H88" i="7"/>
  <c r="A88" i="7"/>
  <c r="I87" i="7"/>
  <c r="H87" i="7"/>
  <c r="A87" i="7"/>
  <c r="I86" i="7"/>
  <c r="H86" i="7"/>
  <c r="A86" i="7"/>
  <c r="I85" i="7"/>
  <c r="H85" i="7"/>
  <c r="A85" i="7"/>
  <c r="I84" i="7"/>
  <c r="H84" i="7"/>
  <c r="A84" i="7"/>
  <c r="I83" i="7"/>
  <c r="H83" i="7"/>
  <c r="A83" i="7"/>
  <c r="I82" i="7"/>
  <c r="H82" i="7"/>
  <c r="A82" i="7"/>
  <c r="I81" i="7"/>
  <c r="H81" i="7"/>
  <c r="A81" i="7"/>
  <c r="I80" i="7"/>
  <c r="H80" i="7"/>
  <c r="A80" i="7"/>
  <c r="I79" i="7"/>
  <c r="H79" i="7"/>
  <c r="A79" i="7"/>
  <c r="I78" i="7"/>
  <c r="H78" i="7"/>
  <c r="A78" i="7"/>
  <c r="I77" i="7"/>
  <c r="H77" i="7"/>
  <c r="A77" i="7"/>
  <c r="I76" i="7"/>
  <c r="H76" i="7"/>
  <c r="A76" i="7"/>
  <c r="I75" i="7"/>
  <c r="H75" i="7"/>
  <c r="A75" i="7"/>
  <c r="I74" i="7"/>
  <c r="H74" i="7"/>
  <c r="A74" i="7"/>
  <c r="I73" i="7"/>
  <c r="H73" i="7"/>
  <c r="A73" i="7"/>
  <c r="I72" i="7"/>
  <c r="H72" i="7"/>
  <c r="A72" i="7"/>
  <c r="I71" i="7"/>
  <c r="H71" i="7"/>
  <c r="A71" i="7"/>
  <c r="I70" i="7"/>
  <c r="H70" i="7"/>
  <c r="A70" i="7"/>
  <c r="I69" i="7"/>
  <c r="H69" i="7"/>
  <c r="A69" i="7"/>
  <c r="I68" i="7"/>
  <c r="H68" i="7"/>
  <c r="A68" i="7"/>
  <c r="I67" i="7"/>
  <c r="H67" i="7"/>
  <c r="A67" i="7"/>
  <c r="I66" i="7"/>
  <c r="H66" i="7"/>
  <c r="A66" i="7"/>
  <c r="I65" i="7"/>
  <c r="H65" i="7"/>
  <c r="A65" i="7"/>
  <c r="I64" i="7"/>
  <c r="H64" i="7"/>
  <c r="A64" i="7"/>
  <c r="I63" i="7"/>
  <c r="H63" i="7"/>
  <c r="A63" i="7"/>
  <c r="I62" i="7"/>
  <c r="H62" i="7"/>
  <c r="A62" i="7"/>
  <c r="I61" i="7"/>
  <c r="H61" i="7"/>
  <c r="A61" i="7"/>
  <c r="I60" i="7"/>
  <c r="H60" i="7"/>
  <c r="A60" i="7"/>
  <c r="I59" i="7"/>
  <c r="H59" i="7"/>
  <c r="A59" i="7"/>
  <c r="I58" i="7"/>
  <c r="H58" i="7"/>
  <c r="A58" i="7"/>
  <c r="I57" i="7"/>
  <c r="H57" i="7"/>
  <c r="A57" i="7"/>
  <c r="I56" i="7"/>
  <c r="H56" i="7"/>
  <c r="A56" i="7"/>
  <c r="I55" i="7"/>
  <c r="H55" i="7"/>
  <c r="A55" i="7"/>
  <c r="I54" i="7"/>
  <c r="H54" i="7"/>
  <c r="A54" i="7"/>
  <c r="I53" i="7"/>
  <c r="H53" i="7"/>
  <c r="A53" i="7"/>
  <c r="I52" i="7"/>
  <c r="H52" i="7"/>
  <c r="A52" i="7"/>
  <c r="I51" i="7"/>
  <c r="H51" i="7"/>
  <c r="A51" i="7"/>
  <c r="I50" i="7"/>
  <c r="H50" i="7"/>
  <c r="A50" i="7"/>
  <c r="I49" i="7"/>
  <c r="H49" i="7"/>
  <c r="A49" i="7"/>
  <c r="I48" i="7"/>
  <c r="H48" i="7"/>
  <c r="A48" i="7"/>
  <c r="I47" i="7"/>
  <c r="H47" i="7"/>
  <c r="A47" i="7"/>
  <c r="I46" i="7"/>
  <c r="H46" i="7"/>
  <c r="A46" i="7"/>
  <c r="I45" i="7"/>
  <c r="H45" i="7"/>
  <c r="A45" i="7"/>
  <c r="I44" i="7"/>
  <c r="H44" i="7"/>
  <c r="A44" i="7"/>
  <c r="I43" i="7"/>
  <c r="H43" i="7"/>
  <c r="A43" i="7"/>
  <c r="I42" i="7"/>
  <c r="H42" i="7"/>
  <c r="A42" i="7"/>
  <c r="I41" i="7"/>
  <c r="H41" i="7"/>
  <c r="A41" i="7"/>
  <c r="I40" i="7"/>
  <c r="H40" i="7"/>
  <c r="A40" i="7"/>
  <c r="I39" i="7"/>
  <c r="H39" i="7"/>
  <c r="A39" i="7"/>
  <c r="I38" i="7"/>
  <c r="H38" i="7"/>
  <c r="A38" i="7"/>
  <c r="I37" i="7"/>
  <c r="H37" i="7"/>
  <c r="A37" i="7"/>
  <c r="I36" i="7"/>
  <c r="H36" i="7"/>
  <c r="A36" i="7"/>
  <c r="I35" i="7"/>
  <c r="H35" i="7"/>
  <c r="A35" i="7"/>
  <c r="I34" i="7"/>
  <c r="H34" i="7"/>
  <c r="A34" i="7"/>
  <c r="I33" i="7"/>
  <c r="H33" i="7"/>
  <c r="A33" i="7"/>
  <c r="I32" i="7"/>
  <c r="H32" i="7"/>
  <c r="A32" i="7"/>
  <c r="I31" i="7"/>
  <c r="H31" i="7"/>
  <c r="A31" i="7"/>
  <c r="I30" i="7"/>
  <c r="H30" i="7"/>
  <c r="A30" i="7"/>
  <c r="I29" i="7"/>
  <c r="H29" i="7"/>
  <c r="A29" i="7"/>
  <c r="I28" i="7"/>
  <c r="H28" i="7"/>
  <c r="A28" i="7"/>
  <c r="I27" i="7"/>
  <c r="H27" i="7"/>
  <c r="A27" i="7"/>
  <c r="I26" i="7"/>
  <c r="H26" i="7"/>
  <c r="A26" i="7"/>
  <c r="I25" i="7"/>
  <c r="H25" i="7"/>
  <c r="A25" i="7"/>
  <c r="I24" i="7"/>
  <c r="H24" i="7"/>
  <c r="A24" i="7"/>
  <c r="I23" i="7"/>
  <c r="H23" i="7"/>
  <c r="A23" i="7"/>
  <c r="I22" i="7"/>
  <c r="H22" i="7"/>
  <c r="A22" i="7"/>
  <c r="I21" i="7"/>
  <c r="H21" i="7"/>
  <c r="A21" i="7"/>
  <c r="I20" i="7"/>
  <c r="H20" i="7"/>
  <c r="A20" i="7"/>
  <c r="I19" i="7"/>
  <c r="H19" i="7"/>
  <c r="A19" i="7"/>
  <c r="I18" i="7"/>
  <c r="H18" i="7"/>
  <c r="A18" i="7"/>
  <c r="I17" i="7"/>
  <c r="H17" i="7"/>
  <c r="A17" i="7"/>
  <c r="I16" i="7"/>
  <c r="H16" i="7"/>
  <c r="A16" i="7"/>
  <c r="I15" i="7"/>
  <c r="H15" i="7"/>
  <c r="A15" i="7"/>
  <c r="I14" i="7"/>
  <c r="H14" i="7"/>
  <c r="A14" i="7"/>
  <c r="I13" i="7"/>
  <c r="H13" i="7"/>
  <c r="A13" i="7"/>
  <c r="I12" i="7"/>
  <c r="H12" i="7"/>
  <c r="A12" i="7"/>
  <c r="I11" i="7"/>
  <c r="H11" i="7"/>
  <c r="A11" i="7"/>
  <c r="I10" i="7"/>
  <c r="H10" i="7"/>
  <c r="A10" i="7"/>
  <c r="I9" i="7"/>
  <c r="H9" i="7"/>
  <c r="A9" i="7"/>
  <c r="I8" i="7"/>
  <c r="H8" i="7"/>
  <c r="A8" i="7"/>
  <c r="I7" i="7"/>
  <c r="H7" i="7"/>
  <c r="A7" i="7"/>
  <c r="I6" i="7"/>
  <c r="H6" i="7"/>
  <c r="A6" i="7"/>
  <c r="I5" i="7"/>
  <c r="H5" i="7"/>
  <c r="A5" i="7"/>
  <c r="I4" i="7"/>
  <c r="H4" i="7"/>
  <c r="A4" i="7"/>
  <c r="I3" i="7"/>
  <c r="H3" i="7"/>
  <c r="A3" i="7"/>
  <c r="E2" i="7"/>
  <c r="D2" i="7"/>
  <c r="C2" i="7"/>
  <c r="D17" i="6"/>
  <c r="D16" i="6"/>
  <c r="D15" i="6"/>
  <c r="D14" i="6"/>
  <c r="D13" i="6"/>
  <c r="D12" i="6"/>
  <c r="D11" i="6"/>
  <c r="F7" i="6"/>
  <c r="B7" i="6"/>
  <c r="F6" i="6"/>
  <c r="B6" i="6"/>
  <c r="F5" i="6"/>
  <c r="B5" i="6"/>
  <c r="D3" i="3"/>
  <c r="D2" i="3"/>
  <c r="L12" i="1"/>
  <c r="K12" i="1"/>
  <c r="S11" i="1"/>
  <c r="L11" i="1"/>
  <c r="K11" i="1"/>
  <c r="S10" i="1"/>
  <c r="Q10" i="1"/>
  <c r="L10" i="1"/>
  <c r="K10" i="1"/>
  <c r="S9" i="1"/>
  <c r="Q9" i="1"/>
  <c r="L9" i="1"/>
  <c r="K9" i="1"/>
  <c r="G9" i="1"/>
  <c r="S8" i="1"/>
  <c r="Q8" i="1"/>
  <c r="L8" i="1"/>
  <c r="K8" i="1"/>
  <c r="S7" i="1"/>
  <c r="Q7" i="1"/>
  <c r="L7" i="1"/>
  <c r="K7" i="1"/>
  <c r="S6" i="1"/>
  <c r="Q6" i="1"/>
  <c r="L6" i="1"/>
  <c r="K6" i="1"/>
  <c r="G6" i="1"/>
  <c r="G5" i="1"/>
  <c r="G10" i="1" s="1"/>
  <c r="G13" i="1" l="1"/>
  <c r="B13" i="6" s="1"/>
  <c r="G8" i="1"/>
  <c r="S12" i="1"/>
  <c r="G14" i="1"/>
  <c r="Q12" i="1"/>
  <c r="B12" i="6" s="1"/>
  <c r="B11" i="6"/>
  <c r="G12" i="1"/>
  <c r="G11" i="1" s="1"/>
  <c r="G16" i="1" l="1"/>
  <c r="G2" i="7" s="1"/>
  <c r="B10" i="6"/>
  <c r="G15" i="1"/>
  <c r="G20" i="1" s="1"/>
  <c r="B14" i="6" l="1"/>
  <c r="G17" i="1"/>
  <c r="H2" i="7" s="1"/>
  <c r="F2" i="7"/>
  <c r="E4" i="8" s="1"/>
  <c r="I7" i="8"/>
  <c r="B15" i="6" l="1"/>
  <c r="G18" i="1"/>
  <c r="G19" i="1" s="1"/>
  <c r="J2" i="7" s="1"/>
  <c r="I2" i="7" l="1"/>
  <c r="E14" i="8"/>
  <c r="E13" i="8"/>
  <c r="E12" i="8"/>
  <c r="E11" i="8"/>
  <c r="C7" i="8"/>
  <c r="A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E2" authorId="0" shapeId="0" xr:uid="{00000000-0006-0000-0200-000001000000}">
      <text>
        <r>
          <rPr>
            <sz val="11"/>
            <color theme="1"/>
            <rFont val="Calibri"/>
            <family val="2"/>
            <scheme val="minor"/>
          </rPr>
          <t>Source: user-provided image set in this chat.</t>
        </r>
      </text>
    </comment>
  </commentList>
</comments>
</file>

<file path=xl/sharedStrings.xml><?xml version="1.0" encoding="utf-8"?>
<sst xmlns="http://schemas.openxmlformats.org/spreadsheetml/2006/main" count="708" uniqueCount="421">
  <si>
    <t>CUSTOMER + VEHICLE INPUTS</t>
  </si>
  <si>
    <t>ADD-ON SELECTOR</t>
  </si>
  <si>
    <t>PPF BUILDER</t>
  </si>
  <si>
    <t>Customer Name</t>
  </si>
  <si>
    <t>Base Labor Hours</t>
  </si>
  <si>
    <t>Add-On</t>
  </si>
  <si>
    <t>Include?</t>
  </si>
  <si>
    <t>Cost</t>
  </si>
  <si>
    <t>Phone / Email</t>
  </si>
  <si>
    <t>Base Surface Area (sq ft)</t>
  </si>
  <si>
    <t>Ceramic Coating</t>
  </si>
  <si>
    <t>No</t>
  </si>
  <si>
    <t>Front Bumper</t>
  </si>
  <si>
    <t>Company</t>
  </si>
  <si>
    <t>Rate per sq ft</t>
  </si>
  <si>
    <t>Window Tint</t>
  </si>
  <si>
    <t>Full Hood</t>
  </si>
  <si>
    <t>Vehicle</t>
  </si>
  <si>
    <t>Base Wrap Revenue</t>
  </si>
  <si>
    <t>Prep Fee</t>
  </si>
  <si>
    <t>Partial Hood</t>
  </si>
  <si>
    <t>Wrap Type</t>
  </si>
  <si>
    <t>Shop Rate</t>
  </si>
  <si>
    <t>Trim Removal</t>
  </si>
  <si>
    <t>Fenders</t>
  </si>
  <si>
    <t>Complexity</t>
  </si>
  <si>
    <t>Labor Revenue</t>
  </si>
  <si>
    <t>Design Basic</t>
  </si>
  <si>
    <t>Mirrors</t>
  </si>
  <si>
    <t>Requested Finish</t>
  </si>
  <si>
    <t>Material Cost</t>
  </si>
  <si>
    <t>Design Custom</t>
  </si>
  <si>
    <t>Rockers</t>
  </si>
  <si>
    <t>Notes</t>
  </si>
  <si>
    <t>Material Order Qty (sq ft)</t>
  </si>
  <si>
    <t>Design Advanced</t>
  </si>
  <si>
    <t>PPF Cost</t>
  </si>
  <si>
    <t>Add-On Revenue</t>
  </si>
  <si>
    <t>Add-On Cost</t>
  </si>
  <si>
    <t>TOTAL SELL PRICE</t>
  </si>
  <si>
    <t>POSITIONING SCRIPT</t>
  </si>
  <si>
    <t>TOTAL JOB COST</t>
  </si>
  <si>
    <t>Use this sheet live with customers. Select vehicle + wrap type, choose complexity honestly, toggle add-ons, and quote from the output. Target 60%+ margin.</t>
  </si>
  <si>
    <t>GROSS PROFIT</t>
  </si>
  <si>
    <t>GROSS MARGIN</t>
  </si>
  <si>
    <t>DECISION</t>
  </si>
  <si>
    <t>QUOTE TIER</t>
  </si>
  <si>
    <t>Category</t>
  </si>
  <si>
    <t>Labor Low</t>
  </si>
  <si>
    <t>Labor High</t>
  </si>
  <si>
    <t>SqFt Low</t>
  </si>
  <si>
    <t>SqFt High</t>
  </si>
  <si>
    <t>Van</t>
  </si>
  <si>
    <t>Ford Transit</t>
  </si>
  <si>
    <t>Fleet staple</t>
  </si>
  <si>
    <t>Sprinter 144</t>
  </si>
  <si>
    <t>High demand</t>
  </si>
  <si>
    <t>Sprinter 170</t>
  </si>
  <si>
    <t>Large canvas</t>
  </si>
  <si>
    <t>Toyota RAV4</t>
  </si>
  <si>
    <t>Small SUV</t>
  </si>
  <si>
    <t>Efficient retail</t>
  </si>
  <si>
    <t>Honda CR-V</t>
  </si>
  <si>
    <t>Tesla Model Y</t>
  </si>
  <si>
    <t>Premium customer</t>
  </si>
  <si>
    <t>Ford Bronco Sport</t>
  </si>
  <si>
    <t>Slightly more complex</t>
  </si>
  <si>
    <t>Toyota 4Runner</t>
  </si>
  <si>
    <t>Mid SUV</t>
  </si>
  <si>
    <t>Popular</t>
  </si>
  <si>
    <t>Jeep Grand Cherokee</t>
  </si>
  <si>
    <t>Ford Explorer</t>
  </si>
  <si>
    <t>Balanced</t>
  </si>
  <si>
    <t>Land Rover Defender</t>
  </si>
  <si>
    <t>Premium complexity</t>
  </si>
  <si>
    <t>Chevy Tahoe</t>
  </si>
  <si>
    <t>Full SUV</t>
  </si>
  <si>
    <t>Large retail</t>
  </si>
  <si>
    <t>Ford Expedition</t>
  </si>
  <si>
    <t>Toyota Sequoia</t>
  </si>
  <si>
    <t>Strong margin</t>
  </si>
  <si>
    <t>Cadillac Escalade</t>
  </si>
  <si>
    <t>Toyota Tacoma</t>
  </si>
  <si>
    <t>Truck</t>
  </si>
  <si>
    <t>Ford Ranger</t>
  </si>
  <si>
    <t>Straightforward</t>
  </si>
  <si>
    <t>Chevy Silverado</t>
  </si>
  <si>
    <t>Large body</t>
  </si>
  <si>
    <t>Ford F150</t>
  </si>
  <si>
    <t>Ford Raptor</t>
  </si>
  <si>
    <t>Toyota Corolla</t>
  </si>
  <si>
    <t>Sedan</t>
  </si>
  <si>
    <t>Efficient</t>
  </si>
  <si>
    <t>Honda Civic</t>
  </si>
  <si>
    <t>Tesla Model 3</t>
  </si>
  <si>
    <t>BMW 3 Series</t>
  </si>
  <si>
    <t>Toyota Camry</t>
  </si>
  <si>
    <t>Mainstream</t>
  </si>
  <si>
    <t>Tesla Model S</t>
  </si>
  <si>
    <t>Jeep Wrangler 4 Door</t>
  </si>
  <si>
    <t>Specialty</t>
  </si>
  <si>
    <t>Hinges</t>
  </si>
  <si>
    <t>Tesla Cybertruck</t>
  </si>
  <si>
    <t>Geometry nightmare</t>
  </si>
  <si>
    <t>Rivian R1T</t>
  </si>
  <si>
    <t>Newer body</t>
  </si>
  <si>
    <t>Rivian R1S</t>
  </si>
  <si>
    <t>Box Truck 16-26 ft</t>
  </si>
  <si>
    <t>Commercial</t>
  </si>
  <si>
    <t>Top profit category</t>
  </si>
  <si>
    <t>Cargo Trailer</t>
  </si>
  <si>
    <t>Service Pickup</t>
  </si>
  <si>
    <t>Contractor demand</t>
  </si>
  <si>
    <t>Fleet SUV</t>
  </si>
  <si>
    <t>Repeat business</t>
  </si>
  <si>
    <t>Honda Accord</t>
  </si>
  <si>
    <t>General</t>
  </si>
  <si>
    <t>Tesla Model X</t>
  </si>
  <si>
    <t>BMW 5 Series</t>
  </si>
  <si>
    <t>BMW X3</t>
  </si>
  <si>
    <t>BMW X5</t>
  </si>
  <si>
    <t>BMW X7</t>
  </si>
  <si>
    <t>Mercedes C Class</t>
  </si>
  <si>
    <t>Mercedes E Class</t>
  </si>
  <si>
    <t>Mercedes GLC</t>
  </si>
  <si>
    <t>Mercedes GLE</t>
  </si>
  <si>
    <t>Mercedes GLS</t>
  </si>
  <si>
    <t>Audi A3</t>
  </si>
  <si>
    <t>Audi A4</t>
  </si>
  <si>
    <t>Audi A6</t>
  </si>
  <si>
    <t>Audi Q3</t>
  </si>
  <si>
    <t>Audi Q5</t>
  </si>
  <si>
    <t>Audi Q7</t>
  </si>
  <si>
    <t>Lexus IS</t>
  </si>
  <si>
    <t>Lexus ES</t>
  </si>
  <si>
    <t>Lexus RX</t>
  </si>
  <si>
    <t>Lexus GX</t>
  </si>
  <si>
    <t>Lexus LX</t>
  </si>
  <si>
    <t>Mazda 3</t>
  </si>
  <si>
    <t>Hyundai Elantra</t>
  </si>
  <si>
    <t>Subaru Forester</t>
  </si>
  <si>
    <t>Subaru Outback</t>
  </si>
  <si>
    <t>Kia Telluride</t>
  </si>
  <si>
    <t>Hyundai Palisade</t>
  </si>
  <si>
    <t>Ram 1500</t>
  </si>
  <si>
    <t>GMC Sierra</t>
  </si>
  <si>
    <t>Mercedes Sprinter 144</t>
  </si>
  <si>
    <t>Mercedes Sprinter 170</t>
  </si>
  <si>
    <t>Jeep Wrangler</t>
  </si>
  <si>
    <t>Nissan Altima</t>
  </si>
  <si>
    <t>Common sedan</t>
  </si>
  <si>
    <t>Hyundai Sonata</t>
  </si>
  <si>
    <t>Kia K5</t>
  </si>
  <si>
    <t>Mazda3 Sedan</t>
  </si>
  <si>
    <t>Compact sedan</t>
  </si>
  <si>
    <t>Kia Forte</t>
  </si>
  <si>
    <t>Nissan Sentra</t>
  </si>
  <si>
    <t>VW Jetta</t>
  </si>
  <si>
    <t>Subaru Impreza</t>
  </si>
  <si>
    <t>BMW 2 Series Gran Coupe</t>
  </si>
  <si>
    <t>Luxury compact</t>
  </si>
  <si>
    <t>Mercedes CLA</t>
  </si>
  <si>
    <t>Mercedes C-Class</t>
  </si>
  <si>
    <t>Mercedes E-Class</t>
  </si>
  <si>
    <t>Luxury midsize</t>
  </si>
  <si>
    <t>Acura Integra</t>
  </si>
  <si>
    <t>Premium compact</t>
  </si>
  <si>
    <t>Acura TLX</t>
  </si>
  <si>
    <t>Premium midsize</t>
  </si>
  <si>
    <t>Cadillac CT4</t>
  </si>
  <si>
    <t>Cadillac CT5</t>
  </si>
  <si>
    <t>Genesis G70</t>
  </si>
  <si>
    <t>Genesis G80</t>
  </si>
  <si>
    <t>Porsche Panamera</t>
  </si>
  <si>
    <t>Exotic-adjacent</t>
  </si>
  <si>
    <t>BMW 4 Series Coupe</t>
  </si>
  <si>
    <t>Sport coupe</t>
  </si>
  <si>
    <t>Ford Mustang</t>
  </si>
  <si>
    <t>Chevy Camaro</t>
  </si>
  <si>
    <t>Dodge Charger</t>
  </si>
  <si>
    <t>Large sedan</t>
  </si>
  <si>
    <t>Dodge Challenger</t>
  </si>
  <si>
    <t>Large coupe</t>
  </si>
  <si>
    <t>Nissan Rogue</t>
  </si>
  <si>
    <t>Popular crossover</t>
  </si>
  <si>
    <t>Mazda CX-5</t>
  </si>
  <si>
    <t>Mazda CX-50</t>
  </si>
  <si>
    <t>Hyundai Tucson</t>
  </si>
  <si>
    <t>Kia Sportage</t>
  </si>
  <si>
    <t>Subaru Crosstrek</t>
  </si>
  <si>
    <t>Subcompact crossover</t>
  </si>
  <si>
    <t>Toyota Corolla Cross</t>
  </si>
  <si>
    <t>Honda HR-V</t>
  </si>
  <si>
    <t>VW Tiguan</t>
  </si>
  <si>
    <t>Compact crossover</t>
  </si>
  <si>
    <t>Chevy Equinox</t>
  </si>
  <si>
    <t>Ford Escape</t>
  </si>
  <si>
    <t>Lexus NX</t>
  </si>
  <si>
    <t>Luxury crossover</t>
  </si>
  <si>
    <t>BMW X1</t>
  </si>
  <si>
    <t>Mercedes GLA</t>
  </si>
  <si>
    <t>Acura RDX</t>
  </si>
  <si>
    <t>Premium crossover</t>
  </si>
  <si>
    <t>Genesis GV70</t>
  </si>
  <si>
    <t>Porsche Macan</t>
  </si>
  <si>
    <t>Premium performance crossover</t>
  </si>
  <si>
    <t>Honda Passport</t>
  </si>
  <si>
    <t>Midsize SUV</t>
  </si>
  <si>
    <t>Hyundai Santa Fe</t>
  </si>
  <si>
    <t>Kia Sorento</t>
  </si>
  <si>
    <t>Chevy Blazer</t>
  </si>
  <si>
    <t>Nissan Murano</t>
  </si>
  <si>
    <t>VW Atlas Cross Sport</t>
  </si>
  <si>
    <t>Toyota Highlander</t>
  </si>
  <si>
    <t>3-row crossover</t>
  </si>
  <si>
    <t>Honda Pilot</t>
  </si>
  <si>
    <t>Ford Bronco</t>
  </si>
  <si>
    <t>Boxy/off-road</t>
  </si>
  <si>
    <t>Land Rover Defender 110</t>
  </si>
  <si>
    <t>Premium off-road</t>
  </si>
  <si>
    <t>BMW X6</t>
  </si>
  <si>
    <t>Audi Q8</t>
  </si>
  <si>
    <t>Acura MDX</t>
  </si>
  <si>
    <t>Premium 3-row</t>
  </si>
  <si>
    <t>Genesis GV80</t>
  </si>
  <si>
    <t>Cadillac XT6</t>
  </si>
  <si>
    <t>Infiniti QX60</t>
  </si>
  <si>
    <t>Chevy Suburban</t>
  </si>
  <si>
    <t>Full-size SUV</t>
  </si>
  <si>
    <t>GMC Yukon</t>
  </si>
  <si>
    <t>GMC Yukon XL</t>
  </si>
  <si>
    <t>Ford Expedition Max</t>
  </si>
  <si>
    <t>Cadillac Escalade ESV</t>
  </si>
  <si>
    <t>Luxury full-size</t>
  </si>
  <si>
    <t>Lincoln Navigator</t>
  </si>
  <si>
    <t>Lincoln Navigator L</t>
  </si>
  <si>
    <t>Jeep Wagoneer</t>
  </si>
  <si>
    <t>Large SUV</t>
  </si>
  <si>
    <t>Jeep Grand Wagoneer</t>
  </si>
  <si>
    <t>Large luxury SUV</t>
  </si>
  <si>
    <t>Ford F-150</t>
  </si>
  <si>
    <t>High-volume truck</t>
  </si>
  <si>
    <t>Ford F-150 Raptor</t>
  </si>
  <si>
    <t>Performance truck</t>
  </si>
  <si>
    <t>Ford Super Duty F-250</t>
  </si>
  <si>
    <t>Heavy-duty truck</t>
  </si>
  <si>
    <t>Ford Super Duty F-350</t>
  </si>
  <si>
    <t>Chevy Silverado 1500</t>
  </si>
  <si>
    <t>Chevy Silverado 2500HD</t>
  </si>
  <si>
    <t>GMC Sierra 1500</t>
  </si>
  <si>
    <t>GMC Sierra 2500HD</t>
  </si>
  <si>
    <t>Ram 2500</t>
  </si>
  <si>
    <t>Toyota Tundra</t>
  </si>
  <si>
    <t>Full-size truck</t>
  </si>
  <si>
    <t>Chevy Colorado</t>
  </si>
  <si>
    <t>Midsize truck</t>
  </si>
  <si>
    <t>GMC Canyon</t>
  </si>
  <si>
    <t>Nissan Frontier</t>
  </si>
  <si>
    <t>Jeep Gladiator</t>
  </si>
  <si>
    <t>Specialty truck</t>
  </si>
  <si>
    <t>Ford Transit Connect</t>
  </si>
  <si>
    <t>Fleet-friendly</t>
  </si>
  <si>
    <t>Ford Transit Cargo</t>
  </si>
  <si>
    <t>Ford Transit Passenger</t>
  </si>
  <si>
    <t>Passenger van</t>
  </si>
  <si>
    <t>Ram ProMaster 136</t>
  </si>
  <si>
    <t>Commercial van</t>
  </si>
  <si>
    <t>Ram ProMaster 159</t>
  </si>
  <si>
    <t>Mercedes Metris</t>
  </si>
  <si>
    <t>Midsize van</t>
  </si>
  <si>
    <t>Nissan NV200</t>
  </si>
  <si>
    <t>Small work van</t>
  </si>
  <si>
    <t>Chevy Express</t>
  </si>
  <si>
    <t>Legacy work van</t>
  </si>
  <si>
    <t>GMC Savana</t>
  </si>
  <si>
    <t>Toyota Sienna</t>
  </si>
  <si>
    <t>Family van</t>
  </si>
  <si>
    <t>Honda Odyssey</t>
  </si>
  <si>
    <t>Kia Carnival</t>
  </si>
  <si>
    <t>Chrysler Pacifica</t>
  </si>
  <si>
    <t>Jeep Wrangler 2 Door</t>
  </si>
  <si>
    <t>Complex hinges</t>
  </si>
  <si>
    <t>Jeep Wrangler 392</t>
  </si>
  <si>
    <t>Complex premium</t>
  </si>
  <si>
    <t>Land Rover Defender 90</t>
  </si>
  <si>
    <t>Short premium SUV</t>
  </si>
  <si>
    <t>Porsche Cayenne</t>
  </si>
  <si>
    <t>Premium performance SUV</t>
  </si>
  <si>
    <t>Porsche 911</t>
  </si>
  <si>
    <t>Sports car</t>
  </si>
  <si>
    <t>Porsche Taycan</t>
  </si>
  <si>
    <t>Premium EV sports sedan</t>
  </si>
  <si>
    <t>Chevy Corvette</t>
  </si>
  <si>
    <t>Nissan GT-R</t>
  </si>
  <si>
    <t>Toyota GR Supra</t>
  </si>
  <si>
    <t>Sports coupe</t>
  </si>
  <si>
    <t>BMW M3</t>
  </si>
  <si>
    <t>Performance sedan</t>
  </si>
  <si>
    <t>BMW M4</t>
  </si>
  <si>
    <t>Performance coupe</t>
  </si>
  <si>
    <t>Mercedes G-Class</t>
  </si>
  <si>
    <t>High-value boxy SUV</t>
  </si>
  <si>
    <t>Lamborghini Urus</t>
  </si>
  <si>
    <t>Exotic SUV</t>
  </si>
  <si>
    <t>Maserati Grecale</t>
  </si>
  <si>
    <t>Maserati Levante</t>
  </si>
  <si>
    <t>Premium midsize SUV</t>
  </si>
  <si>
    <t>Range Rover Sport</t>
  </si>
  <si>
    <t>Premium SUV</t>
  </si>
  <si>
    <t>Range Rover</t>
  </si>
  <si>
    <t>Large premium SUV</t>
  </si>
  <si>
    <t>Low</t>
  </si>
  <si>
    <t>High</t>
  </si>
  <si>
    <t>Mid</t>
  </si>
  <si>
    <t>Source</t>
  </si>
  <si>
    <t>Printed</t>
  </si>
  <si>
    <t>From user-provided image notes</t>
  </si>
  <si>
    <t>Color Change</t>
  </si>
  <si>
    <t>Setting</t>
  </si>
  <si>
    <t>Value</t>
  </si>
  <si>
    <t>Default Shop Rate</t>
  </si>
  <si>
    <t>Easy Job Multiplier</t>
  </si>
  <si>
    <t>Discount for straight panels / fleet repeat work</t>
  </si>
  <si>
    <t>Standard Job Multiplier</t>
  </si>
  <si>
    <t>Default</t>
  </si>
  <si>
    <t>Complex Job Multiplier</t>
  </si>
  <si>
    <t>Use for tighter curves / premium difficulty</t>
  </si>
  <si>
    <t>Specialty Job Multiplier</t>
  </si>
  <si>
    <t>Use for Wrangler, Cybertruck, exotics-like complexity</t>
  </si>
  <si>
    <t>Material Waste Multiplier</t>
  </si>
  <si>
    <t>Order 1.3x surface area</t>
  </si>
  <si>
    <t>Margin Floor</t>
  </si>
  <si>
    <t>Do not accept below this unless strategic</t>
  </si>
  <si>
    <t>Strong Margin Target</t>
  </si>
  <si>
    <t>Healthy floor</t>
  </si>
  <si>
    <t>Premium Margin Target</t>
  </si>
  <si>
    <t>Preferred target</t>
  </si>
  <si>
    <t>Default Price</t>
  </si>
  <si>
    <t>Default Cost</t>
  </si>
  <si>
    <t>High-margin</t>
  </si>
  <si>
    <t>Operational charge</t>
  </si>
  <si>
    <t>Complexity / labor offset</t>
  </si>
  <si>
    <t>Simple layout</t>
  </si>
  <si>
    <t>Business branding</t>
  </si>
  <si>
    <t>Advanced graphics</t>
  </si>
  <si>
    <t>CALI DREAM GARAGE</t>
  </si>
  <si>
    <t>Customer Quote</t>
  </si>
  <si>
    <t>CUSTOMER</t>
  </si>
  <si>
    <t>VEHICLE / WRAP</t>
  </si>
  <si>
    <t>Name</t>
  </si>
  <si>
    <t>Finish</t>
  </si>
  <si>
    <t>QUOTE SUMMARY</t>
  </si>
  <si>
    <t>Base Wrap</t>
  </si>
  <si>
    <t>SELECTED ADD-ONS</t>
  </si>
  <si>
    <t>Labor</t>
  </si>
  <si>
    <t>PPF</t>
  </si>
  <si>
    <t>Selected Add-Ons</t>
  </si>
  <si>
    <t>Total Quote</t>
  </si>
  <si>
    <t>Gross Profit</t>
  </si>
  <si>
    <t>TERMS</t>
  </si>
  <si>
    <t>Quote valid for 7 days. Final price may change if paint condition, prior wrap residue, body damage, or hidden complexity is discovered at vehicle inspection.</t>
  </si>
  <si>
    <t>APPROVAL</t>
  </si>
  <si>
    <t>Customer Signature</t>
  </si>
  <si>
    <t>Date</t>
  </si>
  <si>
    <t>__________________________</t>
  </si>
  <si>
    <t>________________</t>
  </si>
  <si>
    <t>Job ID</t>
  </si>
  <si>
    <t>Customer</t>
  </si>
  <si>
    <t>Quoted Price</t>
  </si>
  <si>
    <t>Estimated Cost</t>
  </si>
  <si>
    <t>GP</t>
  </si>
  <si>
    <t>Margin %</t>
  </si>
  <si>
    <t>Decision</t>
  </si>
  <si>
    <t>Status</t>
  </si>
  <si>
    <t>Actual Sell</t>
  </si>
  <si>
    <t>Actual Cost</t>
  </si>
  <si>
    <t>Actual GP</t>
  </si>
  <si>
    <t>J-001</t>
  </si>
  <si>
    <t>Quoted</t>
  </si>
  <si>
    <t>Open Quotes</t>
  </si>
  <si>
    <t>Booked Jobs</t>
  </si>
  <si>
    <t>Quoted Revenue</t>
  </si>
  <si>
    <t>Actual Revenue</t>
  </si>
  <si>
    <t>Avg Actual Margin</t>
  </si>
  <si>
    <t>Strong Quotes</t>
  </si>
  <si>
    <t>Review / Reject</t>
  </si>
  <si>
    <t>Completed Jobs</t>
  </si>
  <si>
    <t>Avg Quote Size</t>
  </si>
  <si>
    <t>Vehicle Category</t>
  </si>
  <si>
    <t>Count</t>
  </si>
  <si>
    <t>STRONG</t>
  </si>
  <si>
    <t>GOOD</t>
  </si>
  <si>
    <t>REVIEW</t>
  </si>
  <si>
    <t>REJECT / REPRICE</t>
  </si>
  <si>
    <t>1) Go to Front Desk.</t>
  </si>
  <si>
    <t>2) Enter customer info, choose the vehicle, wrap type, and complexity.</t>
  </si>
  <si>
    <t>3) Toggle add-ons Yes/No.</t>
  </si>
  <si>
    <t>4) Review price, cost, gross profit, margin, and decision.</t>
  </si>
  <si>
    <t>5) Open Quote Output and export that sheet to PDF if needed.</t>
  </si>
  <si>
    <t>6) Log accepted jobs in Job Tracker and update actual sell/cost after completion.</t>
  </si>
  <si>
    <t>7) Use Dashboard to monitor revenue, GP, and job quality.</t>
  </si>
  <si>
    <t>CALI DREAM GARAGE — FRONT DESK QUOTE SYSTEM</t>
  </si>
  <si>
    <t>Tablet-friendly intake and quoting.</t>
  </si>
  <si>
    <t>Section</t>
  </si>
  <si>
    <t>Yes</t>
  </si>
  <si>
    <t>Standard</t>
  </si>
  <si>
    <t xml:space="preserve">Source data in Vehicle Data / Rates / Shop Settings / AddOns </t>
  </si>
  <si>
    <t>CALI DREAM GARAGE —  DASHBOARD</t>
  </si>
  <si>
    <t>Material cost per sq ft</t>
  </si>
  <si>
    <t xml:space="preserve">Adjust per material </t>
  </si>
  <si>
    <t xml:space="preserve">PRICING + DECISION ENGINE                                                </t>
  </si>
  <si>
    <t>Price</t>
  </si>
  <si>
    <t>Customer Price</t>
  </si>
  <si>
    <t>Total</t>
  </si>
  <si>
    <t>Shop Cost</t>
  </si>
  <si>
    <t>PPF Customer Price</t>
  </si>
  <si>
    <t>Vehicle Table</t>
  </si>
  <si>
    <t>Enter Vehicle</t>
  </si>
  <si>
    <t>Target range from images: $100-$130/hr</t>
  </si>
  <si>
    <t>Matte</t>
  </si>
  <si>
    <t>How to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</si>
</sst>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
    <numFmt numFmtId="166" formatCode="0.0%"/>
  </numFmts>
  <fonts count="15" x14ac:knownFonts="1">
    <font>
      <sz val="11"/>
      <color theme="1"/>
      <name val="Calibri"/>
      <family val="2"/>
      <scheme val="minor"/>
    </font>
    <font>
      <b/>
      <sz val="11"/>
      <name val="Calibri"/>
    </font>
    <font>
      <b/>
      <sz val="18"/>
      <color rgb="FFFFFFFF"/>
      <name val="Calibri"/>
    </font>
    <font>
      <b/>
      <sz val="11"/>
      <color rgb="FFFFFFFF"/>
      <name val="Calibri"/>
    </font>
    <font>
      <sz val="11"/>
      <color rgb="FF0000FF"/>
      <name val="Calibri"/>
    </font>
    <font>
      <sz val="11"/>
      <color rgb="FF000000"/>
      <name val="Calibri"/>
    </font>
    <font>
      <b/>
      <sz val="11"/>
      <color rgb="FF000000"/>
      <name val="Calibri"/>
    </font>
    <font>
      <b/>
      <sz val="22"/>
      <color rgb="FFFFFFFF"/>
      <name val="Calibri"/>
    </font>
    <font>
      <b/>
      <sz val="11"/>
      <color theme="0"/>
      <name val="Calibri"/>
      <family val="2"/>
    </font>
    <font>
      <sz val="11"/>
      <color rgb="FF0000FF"/>
      <name val="Calibri"/>
      <family val="2"/>
      <scheme val="minor"/>
    </font>
    <font>
      <b/>
      <sz val="11"/>
      <name val="Calibri"/>
      <family val="2"/>
    </font>
    <font>
      <b/>
      <sz val="11"/>
      <color rgb="FFFFFFFF"/>
      <name val="Calibri"/>
      <family val="2"/>
    </font>
    <font>
      <b/>
      <sz val="18"/>
      <color rgb="FFFFFFFF"/>
      <name val="Calibri"/>
      <family val="2"/>
    </font>
    <font>
      <sz val="11"/>
      <color rgb="FF0000FF"/>
      <name val="Calibri"/>
      <family val="2"/>
    </font>
    <font>
      <b/>
      <sz val="16"/>
      <name val="Calibri"/>
      <family val="2"/>
    </font>
  </fonts>
  <fills count="13">
    <fill>
      <patternFill patternType="none"/>
    </fill>
    <fill>
      <patternFill patternType="gray125"/>
    </fill>
    <fill>
      <patternFill patternType="solid">
        <fgColor rgb="FFD9D9D9"/>
      </patternFill>
    </fill>
    <fill>
      <patternFill patternType="solid"/>
    </fill>
    <fill>
      <patternFill patternType="solid">
        <fgColor rgb="FF1F1F1F"/>
      </patternFill>
    </fill>
    <fill>
      <patternFill patternType="solid">
        <fgColor rgb="FFD9EAF7"/>
      </patternFill>
    </fill>
    <fill>
      <patternFill patternType="solid">
        <fgColor rgb="FFF3F3F3"/>
      </patternFill>
    </fill>
    <fill>
      <patternFill patternType="solid">
        <fgColor rgb="FFD8F0F2"/>
      </patternFill>
    </fill>
    <fill>
      <patternFill patternType="solid">
        <fgColor theme="1"/>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0"/>
        <bgColor indexed="64"/>
      </patternFill>
    </fill>
  </fills>
  <borders count="18">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style="thin">
        <color rgb="FF99999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1">
    <xf numFmtId="0" fontId="0" fillId="0" borderId="0"/>
  </cellStyleXfs>
  <cellXfs count="68">
    <xf numFmtId="0" fontId="0" fillId="0" borderId="0" xfId="0"/>
    <xf numFmtId="0" fontId="3" fillId="4" borderId="1" xfId="0" applyFont="1" applyFill="1" applyBorder="1" applyAlignment="1">
      <alignment horizontal="left" vertical="center"/>
    </xf>
    <xf numFmtId="0" fontId="1" fillId="0" borderId="0" xfId="0" applyFont="1"/>
    <xf numFmtId="0" fontId="4" fillId="5" borderId="1" xfId="0" applyFont="1" applyFill="1" applyBorder="1"/>
    <xf numFmtId="164" fontId="5" fillId="6" borderId="1" xfId="0" applyNumberFormat="1" applyFont="1" applyFill="1" applyBorder="1"/>
    <xf numFmtId="0" fontId="1" fillId="2" borderId="1" xfId="0" applyFont="1" applyFill="1" applyBorder="1" applyAlignment="1">
      <alignment horizontal="center" vertical="center"/>
    </xf>
    <xf numFmtId="1" fontId="5" fillId="6" borderId="1" xfId="0" applyNumberFormat="1" applyFont="1" applyFill="1" applyBorder="1"/>
    <xf numFmtId="0" fontId="0" fillId="0" borderId="1" xfId="0" applyBorder="1"/>
    <xf numFmtId="165" fontId="5" fillId="6" borderId="1" xfId="0" applyNumberFormat="1" applyFont="1" applyFill="1" applyBorder="1"/>
    <xf numFmtId="165" fontId="4" fillId="5" borderId="1" xfId="0" applyNumberFormat="1" applyFont="1" applyFill="1" applyBorder="1"/>
    <xf numFmtId="165" fontId="6" fillId="6" borderId="1" xfId="0" applyNumberFormat="1" applyFont="1" applyFill="1" applyBorder="1"/>
    <xf numFmtId="166" fontId="6" fillId="6" borderId="1" xfId="0" applyNumberFormat="1" applyFont="1" applyFill="1" applyBorder="1"/>
    <xf numFmtId="0" fontId="6" fillId="6" borderId="1" xfId="0" applyFont="1" applyFill="1" applyBorder="1"/>
    <xf numFmtId="0" fontId="1" fillId="2" borderId="0" xfId="0" applyFont="1" applyFill="1"/>
    <xf numFmtId="0" fontId="5" fillId="6" borderId="1" xfId="0" applyFont="1" applyFill="1" applyBorder="1"/>
    <xf numFmtId="0" fontId="3" fillId="4" borderId="1" xfId="0" applyFont="1" applyFill="1" applyBorder="1"/>
    <xf numFmtId="165" fontId="0" fillId="0" borderId="1" xfId="0" applyNumberFormat="1" applyBorder="1"/>
    <xf numFmtId="166" fontId="0" fillId="0" borderId="1" xfId="0" applyNumberFormat="1" applyBorder="1"/>
    <xf numFmtId="0" fontId="1" fillId="7" borderId="1" xfId="0" applyFont="1" applyFill="1" applyBorder="1" applyAlignment="1">
      <alignment horizontal="center"/>
    </xf>
    <xf numFmtId="165" fontId="1" fillId="7" borderId="1" xfId="0" applyNumberFormat="1" applyFont="1" applyFill="1" applyBorder="1" applyAlignment="1">
      <alignment horizontal="center"/>
    </xf>
    <xf numFmtId="166" fontId="1" fillId="7" borderId="1" xfId="0" applyNumberFormat="1" applyFont="1" applyFill="1" applyBorder="1" applyAlignment="1">
      <alignment horizontal="center"/>
    </xf>
    <xf numFmtId="0" fontId="4" fillId="5" borderId="1" xfId="0" applyFont="1" applyFill="1" applyBorder="1"/>
    <xf numFmtId="0" fontId="0" fillId="0" borderId="4" xfId="0" applyBorder="1"/>
    <xf numFmtId="0" fontId="0" fillId="0" borderId="5" xfId="0" applyBorder="1"/>
    <xf numFmtId="0" fontId="3" fillId="4" borderId="1" xfId="0" applyFont="1" applyFill="1" applyBorder="1" applyAlignment="1">
      <alignment horizontal="left" vertical="center"/>
    </xf>
    <xf numFmtId="0" fontId="0" fillId="0" borderId="0" xfId="0" applyAlignment="1">
      <alignment horizontal="center"/>
    </xf>
    <xf numFmtId="0" fontId="0" fillId="0" borderId="0" xfId="0"/>
    <xf numFmtId="0" fontId="4" fillId="5" borderId="1" xfId="0" applyFont="1" applyFill="1" applyBorder="1" applyAlignment="1">
      <alignment vertical="top" wrapText="1"/>
    </xf>
    <xf numFmtId="0" fontId="0" fillId="0" borderId="2" xfId="0" applyBorder="1"/>
    <xf numFmtId="0" fontId="0" fillId="0" borderId="6" xfId="0" applyBorder="1"/>
    <xf numFmtId="0" fontId="0" fillId="0" borderId="7" xfId="0" applyBorder="1"/>
    <xf numFmtId="0" fontId="2" fillId="3" borderId="0" xfId="0" applyFont="1" applyFill="1" applyAlignment="1">
      <alignment horizontal="center" vertical="center"/>
    </xf>
    <xf numFmtId="0" fontId="0" fillId="0" borderId="0" xfId="0" applyAlignment="1">
      <alignment vertical="top" wrapText="1"/>
    </xf>
    <xf numFmtId="0" fontId="5" fillId="6" borderId="1" xfId="0" applyFont="1" applyFill="1" applyBorder="1"/>
    <xf numFmtId="0" fontId="7" fillId="3" borderId="0" xfId="0" applyFont="1" applyFill="1" applyAlignment="1">
      <alignment horizontal="center" vertical="center"/>
    </xf>
    <xf numFmtId="0" fontId="8" fillId="8" borderId="0" xfId="0" applyFont="1" applyFill="1"/>
    <xf numFmtId="0" fontId="0" fillId="8" borderId="0" xfId="0" applyFill="1"/>
    <xf numFmtId="165" fontId="5" fillId="6" borderId="9" xfId="0" applyNumberFormat="1" applyFont="1" applyFill="1" applyBorder="1"/>
    <xf numFmtId="0" fontId="0" fillId="0" borderId="8" xfId="0" applyBorder="1"/>
    <xf numFmtId="0" fontId="9" fillId="9" borderId="8" xfId="0" applyFont="1" applyFill="1" applyBorder="1"/>
    <xf numFmtId="0" fontId="0" fillId="10" borderId="8" xfId="0" applyFill="1" applyBorder="1"/>
    <xf numFmtId="0" fontId="0" fillId="9" borderId="8" xfId="0" applyFill="1" applyBorder="1"/>
    <xf numFmtId="0" fontId="10" fillId="2" borderId="1" xfId="0" applyFont="1" applyFill="1" applyBorder="1" applyAlignment="1">
      <alignment horizontal="center" vertical="center"/>
    </xf>
    <xf numFmtId="0" fontId="0" fillId="0" borderId="0" xfId="0" applyBorder="1"/>
    <xf numFmtId="0" fontId="0" fillId="11" borderId="10" xfId="0" applyFont="1" applyFill="1" applyBorder="1"/>
    <xf numFmtId="0" fontId="0" fillId="11" borderId="11" xfId="0" applyFont="1" applyFill="1" applyBorder="1"/>
    <xf numFmtId="0" fontId="0" fillId="11" borderId="12" xfId="0" applyFont="1" applyFill="1" applyBorder="1"/>
    <xf numFmtId="0" fontId="12" fillId="3" borderId="0" xfId="0" applyFont="1" applyFill="1" applyAlignment="1">
      <alignment horizontal="center" vertical="center"/>
    </xf>
    <xf numFmtId="0" fontId="11" fillId="4" borderId="1" xfId="0" applyFont="1" applyFill="1" applyBorder="1" applyAlignment="1">
      <alignment horizontal="left" vertical="center"/>
    </xf>
    <xf numFmtId="165" fontId="0" fillId="0" borderId="0" xfId="0" applyNumberFormat="1"/>
    <xf numFmtId="165" fontId="5" fillId="12" borderId="0" xfId="0" applyNumberFormat="1" applyFont="1" applyFill="1" applyBorder="1"/>
    <xf numFmtId="0" fontId="1" fillId="2" borderId="9" xfId="0" applyFont="1" applyFill="1" applyBorder="1" applyAlignment="1">
      <alignment horizontal="center" vertical="center"/>
    </xf>
    <xf numFmtId="0" fontId="10" fillId="2" borderId="5" xfId="0" applyFont="1" applyFill="1" applyBorder="1" applyAlignment="1">
      <alignment horizontal="center" vertical="center"/>
    </xf>
    <xf numFmtId="0" fontId="1" fillId="12" borderId="0" xfId="0" applyFont="1" applyFill="1" applyBorder="1" applyAlignment="1">
      <alignment horizontal="center" vertical="center"/>
    </xf>
    <xf numFmtId="0" fontId="0" fillId="10" borderId="8" xfId="0" applyFill="1" applyBorder="1" applyAlignment="1">
      <alignment horizontal="right"/>
    </xf>
    <xf numFmtId="0" fontId="13" fillId="5" borderId="1" xfId="0" applyFont="1" applyFill="1" applyBorder="1"/>
    <xf numFmtId="0" fontId="0" fillId="0" borderId="13" xfId="0" applyFont="1" applyBorder="1"/>
    <xf numFmtId="0" fontId="0" fillId="0" borderId="14" xfId="0" applyFont="1" applyBorder="1"/>
    <xf numFmtId="0" fontId="0" fillId="0" borderId="15" xfId="0" applyFont="1" applyBorder="1"/>
    <xf numFmtId="0" fontId="0" fillId="11" borderId="13" xfId="0" applyFont="1" applyFill="1" applyBorder="1"/>
    <xf numFmtId="0" fontId="0" fillId="11" borderId="14" xfId="0" applyFont="1" applyFill="1" applyBorder="1"/>
    <xf numFmtId="0" fontId="0" fillId="11" borderId="15" xfId="0" applyFont="1" applyFill="1" applyBorder="1"/>
    <xf numFmtId="0" fontId="10" fillId="2" borderId="16" xfId="0" applyFont="1" applyFill="1" applyBorder="1"/>
    <xf numFmtId="0" fontId="10" fillId="2" borderId="0" xfId="0" applyFont="1" applyFill="1" applyBorder="1"/>
    <xf numFmtId="0" fontId="10" fillId="2" borderId="17" xfId="0" applyFont="1" applyFill="1" applyBorder="1"/>
    <xf numFmtId="0" fontId="10" fillId="0" borderId="0" xfId="0" applyFont="1"/>
    <xf numFmtId="0" fontId="0" fillId="8" borderId="3" xfId="0" applyFill="1" applyBorder="1"/>
    <xf numFmtId="0" fontId="14" fillId="0" borderId="0" xfId="0" applyFont="1"/>
  </cellXfs>
  <cellStyles count="1">
    <cellStyle name="Normal" xfId="0" builtinId="0"/>
  </cellStyles>
  <dxfs count="5">
    <dxf>
      <fill>
        <patternFill patternType="solid">
          <fgColor rgb="FFE2F0D9"/>
        </patternFill>
      </fill>
    </dxf>
    <dxf>
      <fill>
        <patternFill patternType="solid">
          <fgColor rgb="FFFCE4D6"/>
        </patternFill>
      </fill>
    </dxf>
    <dxf>
      <fill>
        <patternFill patternType="solid">
          <fgColor rgb="FFFDE9E7"/>
        </patternFill>
      </fill>
    </dxf>
    <dxf>
      <font>
        <b/>
        <i val="0"/>
        <strike val="0"/>
        <condense val="0"/>
        <extend val="0"/>
        <outline val="0"/>
        <shadow val="0"/>
        <u val="none"/>
        <vertAlign val="baseline"/>
        <sz val="11"/>
        <color auto="1"/>
        <name val="Calibri"/>
        <family val="2"/>
        <scheme val="none"/>
      </font>
      <fill>
        <patternFill patternType="solid">
          <fgColor indexed="64"/>
          <bgColor rgb="FFD9D9D9"/>
        </patternFill>
      </fill>
    </dxf>
    <dxf>
      <border outline="0">
        <top style="thin">
          <color theme="4" tint="0.39997558519241921"/>
        </top>
      </border>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Vehicle Mix in Reference Database</a:t>
            </a:r>
          </a:p>
        </c:rich>
      </c:tx>
      <c:overlay val="1"/>
    </c:title>
    <c:autoTitleDeleted val="0"/>
    <c:plotArea>
      <c:layout/>
      <c:barChart>
        <c:barDir val="col"/>
        <c:grouping val="clustered"/>
        <c:varyColors val="1"/>
        <c:ser>
          <c:idx val="0"/>
          <c:order val="0"/>
          <c:tx>
            <c:strRef>
              <c:f>Dashboard!$B$10</c:f>
              <c:strCache>
                <c:ptCount val="1"/>
                <c:pt idx="0">
                  <c:v>Count</c:v>
                </c:pt>
              </c:strCache>
            </c:strRef>
          </c:tx>
          <c:spPr>
            <a:ln>
              <a:prstDash val="solid"/>
            </a:ln>
          </c:spPr>
          <c:invertIfNegative val="1"/>
          <c:cat>
            <c:strRef>
              <c:f>Dashboard!$A$11:$A$18</c:f>
              <c:strCache>
                <c:ptCount val="8"/>
                <c:pt idx="0">
                  <c:v>Commercial</c:v>
                </c:pt>
                <c:pt idx="1">
                  <c:v>Van</c:v>
                </c:pt>
                <c:pt idx="2">
                  <c:v>Small SUV</c:v>
                </c:pt>
                <c:pt idx="3">
                  <c:v>Mid SUV</c:v>
                </c:pt>
                <c:pt idx="4">
                  <c:v>Full SUV</c:v>
                </c:pt>
                <c:pt idx="5">
                  <c:v>Truck</c:v>
                </c:pt>
                <c:pt idx="6">
                  <c:v>Sedan</c:v>
                </c:pt>
                <c:pt idx="7">
                  <c:v>Specialty</c:v>
                </c:pt>
              </c:strCache>
            </c:strRef>
          </c:cat>
          <c:val>
            <c:numRef>
              <c:f>Dashboard!$B$11:$B$18</c:f>
              <c:numCache>
                <c:formatCode>General</c:formatCode>
                <c:ptCount val="8"/>
                <c:pt idx="0">
                  <c:v>4</c:v>
                </c:pt>
                <c:pt idx="1">
                  <c:v>17</c:v>
                </c:pt>
                <c:pt idx="2">
                  <c:v>21</c:v>
                </c:pt>
                <c:pt idx="3">
                  <c:v>20</c:v>
                </c:pt>
                <c:pt idx="4">
                  <c:v>13</c:v>
                </c:pt>
                <c:pt idx="5">
                  <c:v>19</c:v>
                </c:pt>
                <c:pt idx="6">
                  <c:v>30</c:v>
                </c:pt>
                <c:pt idx="7">
                  <c:v>21</c:v>
                </c:pt>
              </c:numCache>
            </c:numRef>
          </c:val>
          <c:extLst>
            <c:ext xmlns:c16="http://schemas.microsoft.com/office/drawing/2014/chart" uri="{C3380CC4-5D6E-409C-BE32-E72D297353CC}">
              <c16:uniqueId val="{00000000-4BAE-4BAF-9375-BBC96F300D4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Count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Decision Distribution</a:t>
            </a:r>
          </a:p>
        </c:rich>
      </c:tx>
      <c:overlay val="1"/>
    </c:title>
    <c:autoTitleDeleted val="0"/>
    <c:plotArea>
      <c:layout/>
      <c:pieChart>
        <c:varyColors val="1"/>
        <c:ser>
          <c:idx val="0"/>
          <c:order val="0"/>
          <c:tx>
            <c:strRef>
              <c:f>Dashboard!$E$10</c:f>
              <c:strCache>
                <c:ptCount val="1"/>
                <c:pt idx="0">
                  <c:v>Count</c:v>
                </c:pt>
              </c:strCache>
            </c:strRef>
          </c:tx>
          <c:spPr>
            <a:ln>
              <a:prstDash val="solid"/>
            </a:ln>
          </c:spPr>
          <c:cat>
            <c:strRef>
              <c:f>Dashboard!$D$11:$D$14</c:f>
              <c:strCache>
                <c:ptCount val="4"/>
                <c:pt idx="0">
                  <c:v>STRONG</c:v>
                </c:pt>
                <c:pt idx="1">
                  <c:v>GOOD</c:v>
                </c:pt>
                <c:pt idx="2">
                  <c:v>REVIEW</c:v>
                </c:pt>
                <c:pt idx="3">
                  <c:v>REJECT / REPRICE</c:v>
                </c:pt>
              </c:strCache>
            </c:strRef>
          </c:cat>
          <c:val>
            <c:numRef>
              <c:f>Dashboard!$E$11:$E$14</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0-F4BA-4646-A6B1-BD8F13C388D6}"/>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0</xdr:colOff>
      <xdr:row>9</xdr:row>
      <xdr:rowOff>0</xdr:rowOff>
    </xdr:from>
    <xdr:ext cx="3600000" cy="252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19</xdr:row>
      <xdr:rowOff>0</xdr:rowOff>
    </xdr:from>
    <xdr:ext cx="2880000" cy="2520000"/>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32B64-3449-4546-94BE-266D421E87B6}" name="Table1" displayName="Table1" ref="A1:G179" totalsRowShown="0" headerRowDxfId="3" tableBorderDxfId="4">
  <autoFilter ref="A1:G179" xr:uid="{78E32B64-3449-4546-94BE-266D421E87B6}"/>
  <tableColumns count="7">
    <tableColumn id="1" xr3:uid="{F436A608-0337-46A8-B1AE-F472F03A90BE}" name="Vehicle Table"/>
    <tableColumn id="2" xr3:uid="{162FDB90-1CA7-4A6A-B5FD-1A84921F0243}" name="Category"/>
    <tableColumn id="3" xr3:uid="{859B468A-B2ED-4F97-8ED3-3BEF019FD0CE}" name="Labor Low"/>
    <tableColumn id="4" xr3:uid="{E7D3C11B-CB7E-4196-A4C0-969061FFDE6E}" name="Labor High"/>
    <tableColumn id="5" xr3:uid="{E8368B63-E627-4294-81D9-1DCF4B838DC1}" name="SqFt Low"/>
    <tableColumn id="6" xr3:uid="{6E4C59F3-FB01-4779-83AF-9D38F65BCB2B}" name="SqFt High"/>
    <tableColumn id="7" xr3:uid="{C9294951-2D78-40D9-9658-037B4E0D2C1A}"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JobTrackerTable" displayName="JobTrackerTable" ref="A1:O201">
  <autoFilter ref="A1:O201" xr:uid="{00000000-0009-0000-0100-000002000000}"/>
  <tableColumns count="15">
    <tableColumn id="1" xr3:uid="{00000000-0010-0000-0100-000001000000}" name="Job ID"/>
    <tableColumn id="2" xr3:uid="{00000000-0010-0000-0100-000002000000}" name="Date"/>
    <tableColumn id="3" xr3:uid="{00000000-0010-0000-0100-000003000000}" name="Customer"/>
    <tableColumn id="4" xr3:uid="{00000000-0010-0000-0100-000004000000}" name="Vehicle"/>
    <tableColumn id="5" xr3:uid="{00000000-0010-0000-0100-000005000000}" name="Wrap Type"/>
    <tableColumn id="6" xr3:uid="{00000000-0010-0000-0100-000006000000}" name="Quoted Price"/>
    <tableColumn id="7" xr3:uid="{00000000-0010-0000-0100-000007000000}" name="Estimated Cost"/>
    <tableColumn id="8" xr3:uid="{00000000-0010-0000-0100-000008000000}" name="GP"/>
    <tableColumn id="9" xr3:uid="{00000000-0010-0000-0100-000009000000}" name="Margin %"/>
    <tableColumn id="10" xr3:uid="{00000000-0010-0000-0100-00000A000000}" name="Decision"/>
    <tableColumn id="11" xr3:uid="{00000000-0010-0000-0100-00000B000000}" name="Status"/>
    <tableColumn id="12" xr3:uid="{00000000-0010-0000-0100-00000C000000}" name="Actual Sell"/>
    <tableColumn id="13" xr3:uid="{00000000-0010-0000-0100-00000D000000}" name="Actual Cost"/>
    <tableColumn id="14" xr3:uid="{00000000-0010-0000-0100-00000E000000}" name="Actual GP"/>
    <tableColumn id="15" xr3:uid="{00000000-0010-0000-0100-00000F000000}"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
  <sheetViews>
    <sheetView showGridLines="0" tabSelected="1" workbookViewId="0">
      <selection activeCell="B8" sqref="B8:D8"/>
    </sheetView>
  </sheetViews>
  <sheetFormatPr defaultRowHeight="14.5" x14ac:dyDescent="0.35"/>
  <cols>
    <col min="1" max="1" width="20" customWidth="1"/>
    <col min="2" max="4" width="18" customWidth="1"/>
    <col min="5" max="5" width="3.26953125" customWidth="1"/>
    <col min="6" max="6" width="23.6328125" customWidth="1"/>
    <col min="7" max="7" width="18" customWidth="1"/>
    <col min="8" max="8" width="3.26953125" customWidth="1"/>
    <col min="9" max="9" width="16.6328125" customWidth="1"/>
    <col min="10" max="10" width="12" customWidth="1"/>
    <col min="11" max="11" width="11.90625" customWidth="1"/>
    <col min="12" max="13" width="12.453125" customWidth="1"/>
    <col min="14" max="14" width="17.54296875" customWidth="1"/>
    <col min="15" max="15" width="11.08984375" customWidth="1"/>
    <col min="16" max="16" width="17.26953125" customWidth="1"/>
    <col min="18" max="18" width="11" customWidth="1"/>
  </cols>
  <sheetData>
    <row r="1" spans="1:19" ht="24" customHeight="1" x14ac:dyDescent="0.35">
      <c r="A1" s="31" t="s">
        <v>401</v>
      </c>
      <c r="B1" s="26"/>
      <c r="C1" s="26"/>
      <c r="D1" s="26"/>
      <c r="E1" s="26"/>
      <c r="F1" s="26"/>
      <c r="G1" s="26"/>
      <c r="H1" s="26"/>
      <c r="I1" s="26"/>
      <c r="J1" s="26"/>
      <c r="K1" s="26"/>
      <c r="L1" s="26"/>
      <c r="N1" s="36"/>
      <c r="O1" s="36"/>
      <c r="P1" s="36"/>
      <c r="Q1" s="36"/>
      <c r="R1" s="36"/>
      <c r="S1" s="36"/>
    </row>
    <row r="2" spans="1:19" ht="24" customHeight="1" x14ac:dyDescent="0.35">
      <c r="A2" s="25" t="s">
        <v>402</v>
      </c>
      <c r="B2" s="26"/>
      <c r="C2" s="26"/>
      <c r="D2" s="26"/>
      <c r="E2" s="26"/>
      <c r="F2" s="26"/>
      <c r="G2" s="26"/>
      <c r="H2" s="26"/>
      <c r="I2" s="26"/>
      <c r="J2" s="26"/>
      <c r="K2" s="26"/>
      <c r="L2" s="26"/>
    </row>
    <row r="3" spans="1:19" ht="24" customHeight="1" x14ac:dyDescent="0.35"/>
    <row r="4" spans="1:19" ht="24" customHeight="1" x14ac:dyDescent="0.35">
      <c r="A4" s="24" t="s">
        <v>0</v>
      </c>
      <c r="B4" s="22"/>
      <c r="C4" s="22"/>
      <c r="D4" s="23"/>
      <c r="E4" s="66"/>
      <c r="F4" s="48" t="s">
        <v>410</v>
      </c>
      <c r="G4" s="22"/>
      <c r="H4" s="23"/>
      <c r="I4" s="24" t="s">
        <v>1</v>
      </c>
      <c r="J4" s="22"/>
      <c r="K4" s="22"/>
      <c r="L4" s="23"/>
      <c r="M4" s="43"/>
      <c r="N4" s="35" t="s">
        <v>2</v>
      </c>
      <c r="O4" s="36"/>
      <c r="P4" s="36"/>
      <c r="Q4" s="36"/>
      <c r="R4" s="36"/>
      <c r="S4" s="36"/>
    </row>
    <row r="5" spans="1:19" ht="24" customHeight="1" x14ac:dyDescent="0.35">
      <c r="A5" s="2" t="s">
        <v>3</v>
      </c>
      <c r="B5" s="21"/>
      <c r="C5" s="22"/>
      <c r="D5" s="22"/>
      <c r="E5" s="38"/>
      <c r="F5" s="2" t="s">
        <v>4</v>
      </c>
      <c r="G5" s="4">
        <f>AVERAGE(VLOOKUP(B8,'Vehicle Data'!A2:F179,3,FALSE),VLOOKUP(B8,'Vehicle Data'!A2:F179,4,FALSE))</f>
        <v>0</v>
      </c>
      <c r="I5" s="5" t="s">
        <v>5</v>
      </c>
      <c r="J5" s="5" t="s">
        <v>6</v>
      </c>
      <c r="K5" s="42" t="s">
        <v>411</v>
      </c>
      <c r="L5" s="51" t="s">
        <v>7</v>
      </c>
      <c r="M5" s="53"/>
      <c r="N5" s="52" t="s">
        <v>403</v>
      </c>
      <c r="O5" s="5" t="s">
        <v>6</v>
      </c>
      <c r="P5" s="42" t="s">
        <v>412</v>
      </c>
      <c r="Q5" s="42" t="s">
        <v>413</v>
      </c>
      <c r="R5" s="42" t="s">
        <v>414</v>
      </c>
      <c r="S5" s="42" t="s">
        <v>413</v>
      </c>
    </row>
    <row r="6" spans="1:19" ht="24" customHeight="1" x14ac:dyDescent="0.35">
      <c r="A6" s="2" t="s">
        <v>8</v>
      </c>
      <c r="B6" s="21"/>
      <c r="C6" s="22"/>
      <c r="D6" s="22"/>
      <c r="E6" s="38"/>
      <c r="F6" s="2" t="s">
        <v>9</v>
      </c>
      <c r="G6" s="6">
        <f>AVERAGE(VLOOKUP(B8,'Vehicle Data'!A2:F179,5,FALSE),VLOOKUP(B8,'Vehicle Data'!A2:F179,6,FALSE))</f>
        <v>0</v>
      </c>
      <c r="I6" s="7" t="s">
        <v>10</v>
      </c>
      <c r="J6" s="3" t="s">
        <v>11</v>
      </c>
      <c r="K6" s="8">
        <f>IF($J6="Yes",VLOOKUP($I6,AddOns!$A$2:$D$8,2,FALSE),0)</f>
        <v>0</v>
      </c>
      <c r="L6" s="37">
        <f>IF($J6="Yes",VLOOKUP($I6,AddOns!$A$2:$D$8,3,FALSE),0)</f>
        <v>0</v>
      </c>
      <c r="M6" s="50"/>
      <c r="N6" s="38" t="s">
        <v>12</v>
      </c>
      <c r="O6" s="39" t="s">
        <v>11</v>
      </c>
      <c r="P6" s="40">
        <v>800</v>
      </c>
      <c r="Q6" s="40">
        <f t="shared" ref="Q6:Q10" si="0">IF(O6="Yes",P6,0)</f>
        <v>0</v>
      </c>
      <c r="R6" s="40">
        <v>250</v>
      </c>
      <c r="S6" s="40">
        <f>IF(O6="Yes",R6,0)</f>
        <v>0</v>
      </c>
    </row>
    <row r="7" spans="1:19" ht="24" customHeight="1" x14ac:dyDescent="0.35">
      <c r="A7" s="2" t="s">
        <v>13</v>
      </c>
      <c r="B7" s="21"/>
      <c r="C7" s="22"/>
      <c r="D7" s="22"/>
      <c r="E7" s="38"/>
      <c r="F7" s="2" t="s">
        <v>14</v>
      </c>
      <c r="G7" s="8">
        <f>AVERAGE(VLOOKUP(B9,Rates!A2:C3,2,FALSE),VLOOKUP(B9,Rates!A2:C3,3,FALSE))</f>
        <v>20</v>
      </c>
      <c r="I7" s="7" t="s">
        <v>15</v>
      </c>
      <c r="J7" s="3" t="s">
        <v>404</v>
      </c>
      <c r="K7" s="8">
        <f>IF($J7="Yes",VLOOKUP($I7,AddOns!$A$2:$D$8,2,FALSE),0)</f>
        <v>400</v>
      </c>
      <c r="L7" s="37">
        <f>IF($J7="Yes",VLOOKUP($I7,AddOns!$A$2:$D$8,3,FALSE),0)</f>
        <v>120</v>
      </c>
      <c r="M7" s="50"/>
      <c r="N7" s="38" t="s">
        <v>16</v>
      </c>
      <c r="O7" s="39" t="s">
        <v>11</v>
      </c>
      <c r="P7" s="40">
        <v>900</v>
      </c>
      <c r="Q7" s="40">
        <f t="shared" si="0"/>
        <v>0</v>
      </c>
      <c r="R7" s="40">
        <v>300</v>
      </c>
      <c r="S7" s="40">
        <f>IF(O7="Yes",R7,0)</f>
        <v>0</v>
      </c>
    </row>
    <row r="8" spans="1:19" ht="24" customHeight="1" x14ac:dyDescent="0.35">
      <c r="A8" s="65" t="s">
        <v>17</v>
      </c>
      <c r="B8" s="55" t="s">
        <v>417</v>
      </c>
      <c r="C8" s="22"/>
      <c r="D8" s="22"/>
      <c r="E8" s="38"/>
      <c r="F8" s="2" t="s">
        <v>18</v>
      </c>
      <c r="G8" s="8">
        <f>IFERROR(G6*G7*IF($B$10="Easy",'Shop Settings'!$B$3,IF($B$10="Standard",'Shop Settings'!$B$4,IF($B$10="Complex",'Shop Settings'!$B$5,'Shop Settings'!$B$6))),"")</f>
        <v>0</v>
      </c>
      <c r="I8" s="7" t="s">
        <v>19</v>
      </c>
      <c r="J8" s="3" t="s">
        <v>11</v>
      </c>
      <c r="K8" s="8">
        <f>IF($J8="Yes",VLOOKUP($I8,AddOns!$A$2:$D$8,2,FALSE),0)</f>
        <v>0</v>
      </c>
      <c r="L8" s="37">
        <f>IF($J8="Yes",VLOOKUP($I8,AddOns!$A$2:$D$8,3,FALSE),0)</f>
        <v>0</v>
      </c>
      <c r="M8" s="50"/>
      <c r="N8" s="38" t="s">
        <v>20</v>
      </c>
      <c r="O8" s="39" t="s">
        <v>11</v>
      </c>
      <c r="P8" s="40">
        <v>600</v>
      </c>
      <c r="Q8" s="40">
        <f t="shared" si="0"/>
        <v>0</v>
      </c>
      <c r="R8" s="40">
        <v>200</v>
      </c>
      <c r="S8" s="40">
        <f>IF(O8="Yes",R8,0)</f>
        <v>0</v>
      </c>
    </row>
    <row r="9" spans="1:19" ht="24" customHeight="1" x14ac:dyDescent="0.35">
      <c r="A9" s="2" t="s">
        <v>21</v>
      </c>
      <c r="B9" s="21" t="s">
        <v>317</v>
      </c>
      <c r="C9" s="22"/>
      <c r="D9" s="22"/>
      <c r="E9" s="38"/>
      <c r="F9" s="2" t="s">
        <v>22</v>
      </c>
      <c r="G9" s="9">
        <f>'Shop Settings'!B2</f>
        <v>110</v>
      </c>
      <c r="H9" s="49"/>
      <c r="I9" s="7" t="s">
        <v>23</v>
      </c>
      <c r="J9" s="3" t="s">
        <v>11</v>
      </c>
      <c r="K9" s="8">
        <f>IF($J9="Yes",VLOOKUP($I9,AddOns!$A$2:$D$8,2,FALSE),0)</f>
        <v>0</v>
      </c>
      <c r="L9" s="37">
        <f>IF($J9="Yes",VLOOKUP($I9,AddOns!$A$2:$D$8,3,FALSE),0)</f>
        <v>0</v>
      </c>
      <c r="M9" s="50"/>
      <c r="N9" s="38" t="s">
        <v>24</v>
      </c>
      <c r="O9" s="39" t="s">
        <v>11</v>
      </c>
      <c r="P9" s="40">
        <v>700</v>
      </c>
      <c r="Q9" s="40">
        <f t="shared" si="0"/>
        <v>0</v>
      </c>
      <c r="R9" s="40">
        <v>220</v>
      </c>
      <c r="S9" s="40">
        <f>IF(O9="Yes",R9,0)</f>
        <v>0</v>
      </c>
    </row>
    <row r="10" spans="1:19" ht="24" customHeight="1" x14ac:dyDescent="0.35">
      <c r="A10" s="2" t="s">
        <v>25</v>
      </c>
      <c r="B10" s="21" t="s">
        <v>405</v>
      </c>
      <c r="C10" s="22"/>
      <c r="D10" s="22"/>
      <c r="E10" s="38"/>
      <c r="F10" s="2" t="s">
        <v>26</v>
      </c>
      <c r="G10" s="8">
        <f>IFERROR(G5*G9,"")</f>
        <v>0</v>
      </c>
      <c r="I10" s="7" t="s">
        <v>27</v>
      </c>
      <c r="J10" s="3" t="s">
        <v>11</v>
      </c>
      <c r="K10" s="8">
        <f>IF($J10="Yes",VLOOKUP($I10,AddOns!$A$2:$D$8,2,FALSE),0)</f>
        <v>0</v>
      </c>
      <c r="L10" s="37">
        <f>IF($J10="Yes",VLOOKUP($I10,AddOns!$A$2:$D$8,3,FALSE),0)</f>
        <v>0</v>
      </c>
      <c r="M10" s="50"/>
      <c r="N10" s="38" t="s">
        <v>28</v>
      </c>
      <c r="O10" s="39" t="s">
        <v>11</v>
      </c>
      <c r="P10" s="40">
        <v>250</v>
      </c>
      <c r="Q10" s="40">
        <f t="shared" si="0"/>
        <v>0</v>
      </c>
      <c r="R10" s="40">
        <v>80</v>
      </c>
      <c r="S10" s="40">
        <f>IF(O10="Yes",R10,0)</f>
        <v>0</v>
      </c>
    </row>
    <row r="11" spans="1:19" ht="24" customHeight="1" x14ac:dyDescent="0.35">
      <c r="A11" s="2" t="s">
        <v>29</v>
      </c>
      <c r="B11" s="21" t="s">
        <v>419</v>
      </c>
      <c r="C11" s="22"/>
      <c r="D11" s="22"/>
      <c r="E11" s="38"/>
      <c r="F11" s="2" t="s">
        <v>30</v>
      </c>
      <c r="G11" s="9">
        <f>IFERROR(G12*'Shop Settings'!B11,"")</f>
        <v>0</v>
      </c>
      <c r="I11" s="7" t="s">
        <v>31</v>
      </c>
      <c r="J11" s="3" t="s">
        <v>11</v>
      </c>
      <c r="K11" s="8">
        <f>IF($J11="Yes",VLOOKUP($I11,AddOns!$A$2:$D$8,2,FALSE),0)</f>
        <v>0</v>
      </c>
      <c r="L11" s="37">
        <f>IF($J11="Yes",VLOOKUP($I11,AddOns!$A$2:$D$8,3,FALSE),0)</f>
        <v>0</v>
      </c>
      <c r="M11" s="50"/>
      <c r="N11" s="38" t="s">
        <v>32</v>
      </c>
      <c r="O11" s="39" t="s">
        <v>11</v>
      </c>
      <c r="P11" s="40">
        <v>600</v>
      </c>
      <c r="Q11" s="40">
        <f>IF(O11="Yes",P11,0)</f>
        <v>0</v>
      </c>
      <c r="R11" s="40">
        <v>180</v>
      </c>
      <c r="S11" s="40">
        <f>IF(O11="Yes",R11,0)</f>
        <v>0</v>
      </c>
    </row>
    <row r="12" spans="1:19" ht="24" customHeight="1" x14ac:dyDescent="0.35">
      <c r="A12" s="2" t="s">
        <v>33</v>
      </c>
      <c r="B12" s="27"/>
      <c r="C12" s="28"/>
      <c r="D12" s="28"/>
      <c r="E12" s="38"/>
      <c r="F12" s="2" t="s">
        <v>34</v>
      </c>
      <c r="G12" s="6">
        <f>IFERROR(G6*'Shop Settings'!$B$7,"")</f>
        <v>0</v>
      </c>
      <c r="I12" s="7" t="s">
        <v>35</v>
      </c>
      <c r="J12" s="3" t="s">
        <v>11</v>
      </c>
      <c r="K12" s="8">
        <f>IF($J12="Yes",VLOOKUP($I12,AddOns!$A$2:$D$8,2,FALSE),0)</f>
        <v>0</v>
      </c>
      <c r="L12" s="37">
        <f>IF($J12="Yes",VLOOKUP($I12,AddOns!$A$2:$D$8,3,FALSE),0)</f>
        <v>0</v>
      </c>
      <c r="M12" s="50"/>
      <c r="N12" s="38" t="s">
        <v>415</v>
      </c>
      <c r="O12" s="41"/>
      <c r="P12" s="40" t="str">
        <f>N12</f>
        <v>PPF Customer Price</v>
      </c>
      <c r="Q12" s="40">
        <f>SUM(Q6:Q11)</f>
        <v>0</v>
      </c>
      <c r="R12" s="54" t="s">
        <v>36</v>
      </c>
      <c r="S12" s="40">
        <f>SUM(S6:S11)</f>
        <v>0</v>
      </c>
    </row>
    <row r="13" spans="1:19" ht="24" customHeight="1" x14ac:dyDescent="0.35">
      <c r="B13" s="29"/>
      <c r="C13" s="30"/>
      <c r="D13" s="30"/>
      <c r="E13" s="38"/>
      <c r="F13" s="2" t="s">
        <v>37</v>
      </c>
      <c r="G13" s="8">
        <f>SUM(K6:K12)</f>
        <v>400</v>
      </c>
    </row>
    <row r="14" spans="1:19" ht="24" customHeight="1" x14ac:dyDescent="0.35">
      <c r="F14" s="2" t="s">
        <v>38</v>
      </c>
      <c r="G14" s="8">
        <f>SUM(L6:L12)</f>
        <v>120</v>
      </c>
    </row>
    <row r="15" spans="1:19" ht="24" customHeight="1" x14ac:dyDescent="0.35">
      <c r="F15" s="2" t="s">
        <v>39</v>
      </c>
      <c r="G15" s="10">
        <f>IFERROR(G8+G10+G13+Q12,"")</f>
        <v>400</v>
      </c>
    </row>
    <row r="16" spans="1:19" ht="24" customHeight="1" x14ac:dyDescent="0.35">
      <c r="A16" s="24" t="s">
        <v>40</v>
      </c>
      <c r="B16" s="22"/>
      <c r="C16" s="22"/>
      <c r="D16" s="23"/>
      <c r="E16" s="43"/>
      <c r="F16" s="2" t="s">
        <v>41</v>
      </c>
      <c r="G16" s="10">
        <f>IFERROR(G11+G10+G14+S12,"")</f>
        <v>120</v>
      </c>
      <c r="H16" s="49"/>
    </row>
    <row r="17" spans="1:7" ht="24" customHeight="1" x14ac:dyDescent="0.35">
      <c r="A17" s="32" t="s">
        <v>42</v>
      </c>
      <c r="B17" s="26"/>
      <c r="C17" s="26"/>
      <c r="D17" s="26"/>
      <c r="F17" s="2" t="s">
        <v>43</v>
      </c>
      <c r="G17" s="10">
        <f>IFERROR(G15-G16,"")</f>
        <v>280</v>
      </c>
    </row>
    <row r="18" spans="1:7" ht="24" customHeight="1" x14ac:dyDescent="0.35">
      <c r="A18" s="26"/>
      <c r="B18" s="26"/>
      <c r="C18" s="26"/>
      <c r="D18" s="26"/>
      <c r="F18" s="2" t="s">
        <v>44</v>
      </c>
      <c r="G18" s="11">
        <f>IFERROR(G17/G15,0)</f>
        <v>0.7</v>
      </c>
    </row>
    <row r="19" spans="1:7" ht="24" customHeight="1" x14ac:dyDescent="0.35">
      <c r="A19" s="26"/>
      <c r="B19" s="26"/>
      <c r="C19" s="26"/>
      <c r="D19" s="26"/>
      <c r="F19" s="2" t="s">
        <v>45</v>
      </c>
      <c r="G19" s="12" t="str">
        <f>IF(G18&lt;'Shop Settings'!$B$8,"REJECT / REPRICE",IF(G18&lt;'Shop Settings'!$B$9,"REVIEW",IF(G18&lt;'Shop Settings'!$B$10,"GOOD","STRONG")))</f>
        <v>STRONG</v>
      </c>
    </row>
    <row r="20" spans="1:7" ht="24" customHeight="1" x14ac:dyDescent="0.35">
      <c r="A20" s="26"/>
      <c r="B20" s="26"/>
      <c r="C20" s="26"/>
      <c r="D20" s="26"/>
      <c r="F20" s="2" t="s">
        <v>46</v>
      </c>
      <c r="G20" s="12" t="str">
        <f>IF(G15="","",IF(G15&lt;3500,"ENTRY",IF(G15&lt;6000,"STANDARD",IF(G15&lt;8500,"PREMIUM","FLAGSHIP"))))</f>
        <v>ENTRY</v>
      </c>
    </row>
    <row r="21" spans="1:7" ht="24" customHeight="1" x14ac:dyDescent="0.35">
      <c r="A21" s="26"/>
      <c r="B21" s="26"/>
      <c r="C21" s="26"/>
      <c r="D21" s="26"/>
    </row>
    <row r="22" spans="1:7" ht="24" customHeight="1" x14ac:dyDescent="0.35"/>
    <row r="23" spans="1:7" ht="24" customHeight="1" x14ac:dyDescent="0.35"/>
    <row r="24" spans="1:7" ht="24" customHeight="1" x14ac:dyDescent="0.35"/>
    <row r="25" spans="1:7" ht="24" customHeight="1" x14ac:dyDescent="0.35"/>
    <row r="26" spans="1:7" ht="24" customHeight="1" x14ac:dyDescent="0.35"/>
    <row r="27" spans="1:7" ht="24" customHeight="1" x14ac:dyDescent="0.35"/>
    <row r="28" spans="1:7" ht="24" customHeight="1" x14ac:dyDescent="0.35"/>
    <row r="29" spans="1:7" ht="24" customHeight="1" x14ac:dyDescent="0.35"/>
    <row r="30" spans="1:7" ht="24" customHeight="1" x14ac:dyDescent="0.35"/>
    <row r="31" spans="1:7" ht="24" customHeight="1" x14ac:dyDescent="0.35"/>
    <row r="32" spans="1:7" ht="24" customHeight="1" x14ac:dyDescent="0.35"/>
    <row r="33" ht="24" customHeight="1" x14ac:dyDescent="0.35"/>
    <row r="34" ht="24" customHeight="1" x14ac:dyDescent="0.35"/>
    <row r="35" ht="24" customHeight="1" x14ac:dyDescent="0.35"/>
    <row r="36" ht="24" customHeight="1" x14ac:dyDescent="0.35"/>
    <row r="37" ht="24" customHeight="1" x14ac:dyDescent="0.35"/>
    <row r="38" ht="24" customHeight="1" x14ac:dyDescent="0.35"/>
    <row r="39" ht="24" customHeight="1" x14ac:dyDescent="0.35"/>
  </sheetData>
  <mergeCells count="15">
    <mergeCell ref="A1:L1"/>
    <mergeCell ref="A17:D21"/>
    <mergeCell ref="A2:L2"/>
    <mergeCell ref="B9:D9"/>
    <mergeCell ref="F4:H4"/>
    <mergeCell ref="B12:D13"/>
    <mergeCell ref="A16:D16"/>
    <mergeCell ref="B7:D7"/>
    <mergeCell ref="B10:D10"/>
    <mergeCell ref="I4:L4"/>
    <mergeCell ref="B11:D11"/>
    <mergeCell ref="B5:D5"/>
    <mergeCell ref="B6:D6"/>
    <mergeCell ref="A4:D4"/>
    <mergeCell ref="B8:D8"/>
  </mergeCells>
  <dataValidations count="3">
    <dataValidation type="list" sqref="B10" xr:uid="{00000000-0002-0000-0000-000002000000}">
      <formula1>"Easy,Standard,Complex,Specialty"</formula1>
    </dataValidation>
    <dataValidation type="list" sqref="B11" xr:uid="{00000000-0002-0000-0000-000003000000}">
      <formula1>"Gloss,Satin,Matte,Printed Graphic"</formula1>
    </dataValidation>
    <dataValidation type="list" sqref="J6:J12 O6:O11" xr:uid="{00000000-0002-0000-0000-000004000000}">
      <formula1>"Yes,No"</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1" operator="lessThan" id="{00000000-000E-0000-0000-000001000000}">
            <xm:f>'Shop Settings'!$B$8</xm:f>
            <x14:dxf>
              <fill>
                <patternFill patternType="solid">
                  <fgColor rgb="FFFDE9E7"/>
                </patternFill>
              </fill>
            </x14:dxf>
          </x14:cfRule>
          <x14:cfRule type="cellIs" priority="2" operator="between" id="{00000000-000E-0000-0000-000002000000}">
            <xm:f>'Shop Settings'!$B$8</xm:f>
            <xm:f>'Shop Settings'!$B$9</xm:f>
            <x14:dxf>
              <fill>
                <patternFill patternType="solid">
                  <fgColor rgb="FFFCE4D6"/>
                </patternFill>
              </fill>
            </x14:dxf>
          </x14:cfRule>
          <x14:cfRule type="cellIs" priority="3" operator="greaterThanOrEqual" id="{00000000-000E-0000-0000-000003000000}">
            <xm:f>'Shop Settings'!$B$9</xm:f>
            <x14:dxf>
              <fill>
                <patternFill patternType="solid">
                  <fgColor rgb="FFE2F0D9"/>
                </patternFill>
              </fill>
            </x14:dxf>
          </x14:cfRule>
          <xm:sqref>G18</xm:sqref>
        </x14:conditionalFormatting>
      </x14:conditionalFormattings>
    </ext>
    <ext xmlns:x14="http://schemas.microsoft.com/office/spreadsheetml/2009/9/main" uri="{CCE6A557-97BC-4b89-ADB6-D9C93CAAB3DF}">
      <x14:dataValidations xmlns:xm="http://schemas.microsoft.com/office/excel/2006/main" count="2">
        <x14:dataValidation type="list" xr:uid="{00000000-0002-0000-0000-000001000000}">
          <x14:formula1>
            <xm:f>Rates!$A$2:$A$3</xm:f>
          </x14:formula1>
          <xm:sqref>B9</xm:sqref>
        </x14:dataValidation>
        <x14:dataValidation type="list" xr:uid="{00000000-0002-0000-0000-000000000000}">
          <x14:formula1>
            <xm:f>'Vehicle Data'!$A$2:$A$179</xm:f>
          </x14:formula1>
          <xm:sqref>B8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9"/>
  <sheetViews>
    <sheetView workbookViewId="0">
      <selection activeCell="A13" sqref="A13"/>
    </sheetView>
  </sheetViews>
  <sheetFormatPr defaultRowHeight="14.5" x14ac:dyDescent="0.35"/>
  <cols>
    <col min="1" max="1" width="24" customWidth="1"/>
    <col min="2" max="2" width="16" customWidth="1"/>
    <col min="3" max="6" width="12" customWidth="1"/>
    <col min="7" max="7" width="30" customWidth="1"/>
  </cols>
  <sheetData>
    <row r="1" spans="1:7" x14ac:dyDescent="0.35">
      <c r="A1" s="62" t="s">
        <v>416</v>
      </c>
      <c r="B1" s="63" t="s">
        <v>47</v>
      </c>
      <c r="C1" s="63" t="s">
        <v>48</v>
      </c>
      <c r="D1" s="63" t="s">
        <v>49</v>
      </c>
      <c r="E1" s="63" t="s">
        <v>50</v>
      </c>
      <c r="F1" s="63" t="s">
        <v>51</v>
      </c>
      <c r="G1" s="64" t="s">
        <v>33</v>
      </c>
    </row>
    <row r="2" spans="1:7" ht="17.5" customHeight="1" x14ac:dyDescent="0.35">
      <c r="A2" s="56" t="s">
        <v>417</v>
      </c>
      <c r="B2" s="57" t="s">
        <v>52</v>
      </c>
      <c r="C2" s="57">
        <v>0</v>
      </c>
      <c r="D2" s="57">
        <v>0</v>
      </c>
      <c r="E2" s="57">
        <v>0</v>
      </c>
      <c r="F2" s="57">
        <v>0</v>
      </c>
      <c r="G2" s="58"/>
    </row>
    <row r="3" spans="1:7" x14ac:dyDescent="0.35">
      <c r="A3" s="59" t="s">
        <v>53</v>
      </c>
      <c r="B3" s="60" t="s">
        <v>52</v>
      </c>
      <c r="C3" s="60">
        <v>22</v>
      </c>
      <c r="D3" s="60">
        <v>28</v>
      </c>
      <c r="E3" s="60">
        <v>280</v>
      </c>
      <c r="F3" s="60">
        <v>300</v>
      </c>
      <c r="G3" s="61" t="s">
        <v>54</v>
      </c>
    </row>
    <row r="4" spans="1:7" x14ac:dyDescent="0.35">
      <c r="A4" s="59" t="s">
        <v>55</v>
      </c>
      <c r="B4" s="60" t="s">
        <v>52</v>
      </c>
      <c r="C4" s="60">
        <v>24</v>
      </c>
      <c r="D4" s="60">
        <v>30</v>
      </c>
      <c r="E4" s="60">
        <v>300</v>
      </c>
      <c r="F4" s="60">
        <v>320</v>
      </c>
      <c r="G4" s="61" t="s">
        <v>56</v>
      </c>
    </row>
    <row r="5" spans="1:7" x14ac:dyDescent="0.35">
      <c r="A5" s="56" t="s">
        <v>57</v>
      </c>
      <c r="B5" s="57" t="s">
        <v>52</v>
      </c>
      <c r="C5" s="57">
        <v>28</v>
      </c>
      <c r="D5" s="57">
        <v>36</v>
      </c>
      <c r="E5" s="57">
        <v>340</v>
      </c>
      <c r="F5" s="57">
        <v>370</v>
      </c>
      <c r="G5" s="58" t="s">
        <v>58</v>
      </c>
    </row>
    <row r="6" spans="1:7" x14ac:dyDescent="0.35">
      <c r="A6" s="59" t="s">
        <v>59</v>
      </c>
      <c r="B6" s="60" t="s">
        <v>60</v>
      </c>
      <c r="C6" s="60">
        <v>16</v>
      </c>
      <c r="D6" s="60">
        <v>18</v>
      </c>
      <c r="E6" s="60">
        <v>220</v>
      </c>
      <c r="F6" s="60">
        <v>230</v>
      </c>
      <c r="G6" s="61" t="s">
        <v>61</v>
      </c>
    </row>
    <row r="7" spans="1:7" x14ac:dyDescent="0.35">
      <c r="A7" s="56" t="s">
        <v>62</v>
      </c>
      <c r="B7" s="57" t="s">
        <v>60</v>
      </c>
      <c r="C7" s="57">
        <v>16</v>
      </c>
      <c r="D7" s="57">
        <v>18</v>
      </c>
      <c r="E7" s="57">
        <v>220</v>
      </c>
      <c r="F7" s="57">
        <v>230</v>
      </c>
      <c r="G7" s="58" t="s">
        <v>61</v>
      </c>
    </row>
    <row r="8" spans="1:7" x14ac:dyDescent="0.35">
      <c r="A8" s="59" t="s">
        <v>63</v>
      </c>
      <c r="B8" s="60" t="s">
        <v>60</v>
      </c>
      <c r="C8" s="60">
        <v>18</v>
      </c>
      <c r="D8" s="60">
        <v>20</v>
      </c>
      <c r="E8" s="60">
        <v>230</v>
      </c>
      <c r="F8" s="60">
        <v>240</v>
      </c>
      <c r="G8" s="61" t="s">
        <v>64</v>
      </c>
    </row>
    <row r="9" spans="1:7" x14ac:dyDescent="0.35">
      <c r="A9" s="56" t="s">
        <v>65</v>
      </c>
      <c r="B9" s="57" t="s">
        <v>60</v>
      </c>
      <c r="C9" s="57">
        <v>18</v>
      </c>
      <c r="D9" s="57">
        <v>20</v>
      </c>
      <c r="E9" s="57">
        <v>230</v>
      </c>
      <c r="F9" s="57">
        <v>240</v>
      </c>
      <c r="G9" s="58" t="s">
        <v>66</v>
      </c>
    </row>
    <row r="10" spans="1:7" x14ac:dyDescent="0.35">
      <c r="A10" s="59" t="s">
        <v>67</v>
      </c>
      <c r="B10" s="60" t="s">
        <v>68</v>
      </c>
      <c r="C10" s="60">
        <v>18</v>
      </c>
      <c r="D10" s="60">
        <v>22</v>
      </c>
      <c r="E10" s="60">
        <v>240</v>
      </c>
      <c r="F10" s="60">
        <v>250</v>
      </c>
      <c r="G10" s="61" t="s">
        <v>69</v>
      </c>
    </row>
    <row r="11" spans="1:7" x14ac:dyDescent="0.35">
      <c r="A11" s="56" t="s">
        <v>70</v>
      </c>
      <c r="B11" s="57" t="s">
        <v>68</v>
      </c>
      <c r="C11" s="57">
        <v>18</v>
      </c>
      <c r="D11" s="57">
        <v>22</v>
      </c>
      <c r="E11" s="57">
        <v>240</v>
      </c>
      <c r="F11" s="57">
        <v>250</v>
      </c>
      <c r="G11" s="58" t="s">
        <v>69</v>
      </c>
    </row>
    <row r="12" spans="1:7" x14ac:dyDescent="0.35">
      <c r="A12" s="59" t="s">
        <v>71</v>
      </c>
      <c r="B12" s="60" t="s">
        <v>68</v>
      </c>
      <c r="C12" s="60">
        <v>18</v>
      </c>
      <c r="D12" s="60">
        <v>21</v>
      </c>
      <c r="E12" s="60">
        <v>245</v>
      </c>
      <c r="F12" s="60">
        <v>255</v>
      </c>
      <c r="G12" s="61" t="s">
        <v>72</v>
      </c>
    </row>
    <row r="13" spans="1:7" x14ac:dyDescent="0.35">
      <c r="A13" s="56" t="s">
        <v>73</v>
      </c>
      <c r="B13" s="57" t="s">
        <v>68</v>
      </c>
      <c r="C13" s="57">
        <v>20</v>
      </c>
      <c r="D13" s="57">
        <v>24</v>
      </c>
      <c r="E13" s="57">
        <v>250</v>
      </c>
      <c r="F13" s="57">
        <v>260</v>
      </c>
      <c r="G13" s="58" t="s">
        <v>74</v>
      </c>
    </row>
    <row r="14" spans="1:7" x14ac:dyDescent="0.35">
      <c r="A14" s="59" t="s">
        <v>75</v>
      </c>
      <c r="B14" s="60" t="s">
        <v>76</v>
      </c>
      <c r="C14" s="60">
        <v>20</v>
      </c>
      <c r="D14" s="60">
        <v>24</v>
      </c>
      <c r="E14" s="60">
        <v>260</v>
      </c>
      <c r="F14" s="60">
        <v>275</v>
      </c>
      <c r="G14" s="61" t="s">
        <v>77</v>
      </c>
    </row>
    <row r="15" spans="1:7" x14ac:dyDescent="0.35">
      <c r="A15" s="56" t="s">
        <v>78</v>
      </c>
      <c r="B15" s="57" t="s">
        <v>76</v>
      </c>
      <c r="C15" s="57">
        <v>20</v>
      </c>
      <c r="D15" s="57">
        <v>24</v>
      </c>
      <c r="E15" s="57">
        <v>270</v>
      </c>
      <c r="F15" s="57">
        <v>285</v>
      </c>
      <c r="G15" s="58" t="s">
        <v>77</v>
      </c>
    </row>
    <row r="16" spans="1:7" x14ac:dyDescent="0.35">
      <c r="A16" s="59" t="s">
        <v>79</v>
      </c>
      <c r="B16" s="60" t="s">
        <v>76</v>
      </c>
      <c r="C16" s="60">
        <v>18</v>
      </c>
      <c r="D16" s="60">
        <v>22</v>
      </c>
      <c r="E16" s="60">
        <v>250</v>
      </c>
      <c r="F16" s="60">
        <v>260</v>
      </c>
      <c r="G16" s="61" t="s">
        <v>80</v>
      </c>
    </row>
    <row r="17" spans="1:7" x14ac:dyDescent="0.35">
      <c r="A17" s="56" t="s">
        <v>81</v>
      </c>
      <c r="B17" s="57" t="s">
        <v>76</v>
      </c>
      <c r="C17" s="57">
        <v>22</v>
      </c>
      <c r="D17" s="57">
        <v>26</v>
      </c>
      <c r="E17" s="57">
        <v>270</v>
      </c>
      <c r="F17" s="57">
        <v>285</v>
      </c>
      <c r="G17" s="58" t="s">
        <v>74</v>
      </c>
    </row>
    <row r="18" spans="1:7" x14ac:dyDescent="0.35">
      <c r="A18" s="59" t="s">
        <v>82</v>
      </c>
      <c r="B18" s="60" t="s">
        <v>83</v>
      </c>
      <c r="C18" s="60">
        <v>18</v>
      </c>
      <c r="D18" s="60">
        <v>22</v>
      </c>
      <c r="E18" s="60">
        <v>240</v>
      </c>
      <c r="F18" s="60">
        <v>250</v>
      </c>
      <c r="G18" s="61" t="s">
        <v>69</v>
      </c>
    </row>
    <row r="19" spans="1:7" x14ac:dyDescent="0.35">
      <c r="A19" s="56" t="s">
        <v>84</v>
      </c>
      <c r="B19" s="57" t="s">
        <v>83</v>
      </c>
      <c r="C19" s="57">
        <v>18</v>
      </c>
      <c r="D19" s="57">
        <v>20</v>
      </c>
      <c r="E19" s="57">
        <v>235</v>
      </c>
      <c r="F19" s="57">
        <v>245</v>
      </c>
      <c r="G19" s="58" t="s">
        <v>85</v>
      </c>
    </row>
    <row r="20" spans="1:7" x14ac:dyDescent="0.35">
      <c r="A20" s="59" t="s">
        <v>86</v>
      </c>
      <c r="B20" s="60" t="s">
        <v>83</v>
      </c>
      <c r="C20" s="60">
        <v>20</v>
      </c>
      <c r="D20" s="60">
        <v>24</v>
      </c>
      <c r="E20" s="60">
        <v>260</v>
      </c>
      <c r="F20" s="60">
        <v>280</v>
      </c>
      <c r="G20" s="61" t="s">
        <v>87</v>
      </c>
    </row>
    <row r="21" spans="1:7" x14ac:dyDescent="0.35">
      <c r="A21" s="56" t="s">
        <v>88</v>
      </c>
      <c r="B21" s="57" t="s">
        <v>83</v>
      </c>
      <c r="C21" s="57">
        <v>20</v>
      </c>
      <c r="D21" s="57">
        <v>24</v>
      </c>
      <c r="E21" s="57">
        <v>260</v>
      </c>
      <c r="F21" s="57">
        <v>280</v>
      </c>
      <c r="G21" s="58" t="s">
        <v>87</v>
      </c>
    </row>
    <row r="22" spans="1:7" x14ac:dyDescent="0.35">
      <c r="A22" s="59" t="s">
        <v>89</v>
      </c>
      <c r="B22" s="60" t="s">
        <v>83</v>
      </c>
      <c r="C22" s="60">
        <v>22</v>
      </c>
      <c r="D22" s="60">
        <v>26</v>
      </c>
      <c r="E22" s="60">
        <v>270</v>
      </c>
      <c r="F22" s="60">
        <v>290</v>
      </c>
      <c r="G22" s="61" t="s">
        <v>74</v>
      </c>
    </row>
    <row r="23" spans="1:7" x14ac:dyDescent="0.35">
      <c r="A23" s="56" t="s">
        <v>90</v>
      </c>
      <c r="B23" s="57" t="s">
        <v>91</v>
      </c>
      <c r="C23" s="57">
        <v>14</v>
      </c>
      <c r="D23" s="57">
        <v>16</v>
      </c>
      <c r="E23" s="57">
        <v>200</v>
      </c>
      <c r="F23" s="57">
        <v>210</v>
      </c>
      <c r="G23" s="58" t="s">
        <v>92</v>
      </c>
    </row>
    <row r="24" spans="1:7" x14ac:dyDescent="0.35">
      <c r="A24" s="59" t="s">
        <v>93</v>
      </c>
      <c r="B24" s="60" t="s">
        <v>91</v>
      </c>
      <c r="C24" s="60">
        <v>14</v>
      </c>
      <c r="D24" s="60">
        <v>16</v>
      </c>
      <c r="E24" s="60">
        <v>200</v>
      </c>
      <c r="F24" s="60">
        <v>210</v>
      </c>
      <c r="G24" s="61" t="s">
        <v>92</v>
      </c>
    </row>
    <row r="25" spans="1:7" x14ac:dyDescent="0.35">
      <c r="A25" s="56" t="s">
        <v>94</v>
      </c>
      <c r="B25" s="57" t="s">
        <v>91</v>
      </c>
      <c r="C25" s="57">
        <v>16</v>
      </c>
      <c r="D25" s="57">
        <v>18</v>
      </c>
      <c r="E25" s="57">
        <v>210</v>
      </c>
      <c r="F25" s="57">
        <v>220</v>
      </c>
      <c r="G25" s="58" t="s">
        <v>64</v>
      </c>
    </row>
    <row r="26" spans="1:7" x14ac:dyDescent="0.35">
      <c r="A26" s="59" t="s">
        <v>95</v>
      </c>
      <c r="B26" s="60" t="s">
        <v>91</v>
      </c>
      <c r="C26" s="60">
        <v>16</v>
      </c>
      <c r="D26" s="60">
        <v>18</v>
      </c>
      <c r="E26" s="60">
        <v>210</v>
      </c>
      <c r="F26" s="60">
        <v>220</v>
      </c>
      <c r="G26" s="61" t="s">
        <v>64</v>
      </c>
    </row>
    <row r="27" spans="1:7" x14ac:dyDescent="0.35">
      <c r="A27" s="56" t="s">
        <v>96</v>
      </c>
      <c r="B27" s="57" t="s">
        <v>91</v>
      </c>
      <c r="C27" s="57">
        <v>15</v>
      </c>
      <c r="D27" s="57">
        <v>17</v>
      </c>
      <c r="E27" s="57">
        <v>210</v>
      </c>
      <c r="F27" s="57">
        <v>220</v>
      </c>
      <c r="G27" s="58" t="s">
        <v>97</v>
      </c>
    </row>
    <row r="28" spans="1:7" x14ac:dyDescent="0.35">
      <c r="A28" s="59" t="s">
        <v>98</v>
      </c>
      <c r="B28" s="60" t="s">
        <v>91</v>
      </c>
      <c r="C28" s="60">
        <v>18</v>
      </c>
      <c r="D28" s="60">
        <v>20</v>
      </c>
      <c r="E28" s="60">
        <v>230</v>
      </c>
      <c r="F28" s="60">
        <v>240</v>
      </c>
      <c r="G28" s="61" t="s">
        <v>74</v>
      </c>
    </row>
    <row r="29" spans="1:7" x14ac:dyDescent="0.35">
      <c r="A29" s="56" t="s">
        <v>99</v>
      </c>
      <c r="B29" s="57" t="s">
        <v>100</v>
      </c>
      <c r="C29" s="57">
        <v>20</v>
      </c>
      <c r="D29" s="57">
        <v>26</v>
      </c>
      <c r="E29" s="57">
        <v>230</v>
      </c>
      <c r="F29" s="57">
        <v>240</v>
      </c>
      <c r="G29" s="58" t="s">
        <v>101</v>
      </c>
    </row>
    <row r="30" spans="1:7" x14ac:dyDescent="0.35">
      <c r="A30" s="59" t="s">
        <v>102</v>
      </c>
      <c r="B30" s="60" t="s">
        <v>100</v>
      </c>
      <c r="C30" s="60">
        <v>28</v>
      </c>
      <c r="D30" s="60">
        <v>40</v>
      </c>
      <c r="E30" s="60">
        <v>320</v>
      </c>
      <c r="F30" s="60">
        <v>350</v>
      </c>
      <c r="G30" s="61" t="s">
        <v>103</v>
      </c>
    </row>
    <row r="31" spans="1:7" x14ac:dyDescent="0.35">
      <c r="A31" s="56" t="s">
        <v>104</v>
      </c>
      <c r="B31" s="57" t="s">
        <v>100</v>
      </c>
      <c r="C31" s="57">
        <v>22</v>
      </c>
      <c r="D31" s="57">
        <v>26</v>
      </c>
      <c r="E31" s="57">
        <v>260</v>
      </c>
      <c r="F31" s="57">
        <v>270</v>
      </c>
      <c r="G31" s="58" t="s">
        <v>105</v>
      </c>
    </row>
    <row r="32" spans="1:7" x14ac:dyDescent="0.35">
      <c r="A32" s="59" t="s">
        <v>106</v>
      </c>
      <c r="B32" s="60" t="s">
        <v>100</v>
      </c>
      <c r="C32" s="60">
        <v>22</v>
      </c>
      <c r="D32" s="60">
        <v>26</v>
      </c>
      <c r="E32" s="60">
        <v>260</v>
      </c>
      <c r="F32" s="60">
        <v>270</v>
      </c>
      <c r="G32" s="61" t="s">
        <v>105</v>
      </c>
    </row>
    <row r="33" spans="1:7" x14ac:dyDescent="0.35">
      <c r="A33" s="56" t="s">
        <v>107</v>
      </c>
      <c r="B33" s="57" t="s">
        <v>108</v>
      </c>
      <c r="C33" s="57">
        <v>26</v>
      </c>
      <c r="D33" s="57">
        <v>38</v>
      </c>
      <c r="E33" s="57">
        <v>400</v>
      </c>
      <c r="F33" s="57">
        <v>650</v>
      </c>
      <c r="G33" s="58" t="s">
        <v>109</v>
      </c>
    </row>
    <row r="34" spans="1:7" x14ac:dyDescent="0.35">
      <c r="A34" s="59" t="s">
        <v>110</v>
      </c>
      <c r="B34" s="60" t="s">
        <v>108</v>
      </c>
      <c r="C34" s="60">
        <v>20</v>
      </c>
      <c r="D34" s="60">
        <v>30</v>
      </c>
      <c r="E34" s="60">
        <v>320</v>
      </c>
      <c r="F34" s="60">
        <v>500</v>
      </c>
      <c r="G34" s="61" t="s">
        <v>109</v>
      </c>
    </row>
    <row r="35" spans="1:7" x14ac:dyDescent="0.35">
      <c r="A35" s="56" t="s">
        <v>111</v>
      </c>
      <c r="B35" s="57" t="s">
        <v>108</v>
      </c>
      <c r="C35" s="57">
        <v>18</v>
      </c>
      <c r="D35" s="57">
        <v>24</v>
      </c>
      <c r="E35" s="57">
        <v>240</v>
      </c>
      <c r="F35" s="57">
        <v>260</v>
      </c>
      <c r="G35" s="58" t="s">
        <v>112</v>
      </c>
    </row>
    <row r="36" spans="1:7" x14ac:dyDescent="0.35">
      <c r="A36" s="44" t="s">
        <v>113</v>
      </c>
      <c r="B36" s="45" t="s">
        <v>108</v>
      </c>
      <c r="C36" s="45">
        <v>18</v>
      </c>
      <c r="D36" s="45">
        <v>22</v>
      </c>
      <c r="E36" s="45">
        <v>240</v>
      </c>
      <c r="F36" s="45">
        <v>260</v>
      </c>
      <c r="G36" s="46" t="s">
        <v>114</v>
      </c>
    </row>
    <row r="37" spans="1:7" x14ac:dyDescent="0.35">
      <c r="A37" t="s">
        <v>115</v>
      </c>
      <c r="B37" t="s">
        <v>116</v>
      </c>
      <c r="C37">
        <v>18</v>
      </c>
      <c r="D37">
        <v>22</v>
      </c>
      <c r="E37">
        <v>240</v>
      </c>
      <c r="F37">
        <v>260</v>
      </c>
    </row>
    <row r="38" spans="1:7" x14ac:dyDescent="0.35">
      <c r="A38" t="s">
        <v>117</v>
      </c>
      <c r="B38" t="s">
        <v>116</v>
      </c>
      <c r="C38">
        <v>18</v>
      </c>
      <c r="D38">
        <v>22</v>
      </c>
      <c r="E38">
        <v>240</v>
      </c>
      <c r="F38">
        <v>260</v>
      </c>
    </row>
    <row r="39" spans="1:7" x14ac:dyDescent="0.35">
      <c r="A39" t="s">
        <v>118</v>
      </c>
      <c r="B39" t="s">
        <v>116</v>
      </c>
      <c r="C39">
        <v>18</v>
      </c>
      <c r="D39">
        <v>22</v>
      </c>
      <c r="E39">
        <v>240</v>
      </c>
      <c r="F39">
        <v>260</v>
      </c>
    </row>
    <row r="40" spans="1:7" x14ac:dyDescent="0.35">
      <c r="A40" t="s">
        <v>119</v>
      </c>
      <c r="B40" t="s">
        <v>116</v>
      </c>
      <c r="C40">
        <v>18</v>
      </c>
      <c r="D40">
        <v>22</v>
      </c>
      <c r="E40">
        <v>240</v>
      </c>
      <c r="F40">
        <v>260</v>
      </c>
    </row>
    <row r="41" spans="1:7" x14ac:dyDescent="0.35">
      <c r="A41" t="s">
        <v>120</v>
      </c>
      <c r="B41" t="s">
        <v>116</v>
      </c>
      <c r="C41">
        <v>18</v>
      </c>
      <c r="D41">
        <v>22</v>
      </c>
      <c r="E41">
        <v>240</v>
      </c>
      <c r="F41">
        <v>260</v>
      </c>
    </row>
    <row r="42" spans="1:7" x14ac:dyDescent="0.35">
      <c r="A42" t="s">
        <v>121</v>
      </c>
      <c r="B42" t="s">
        <v>116</v>
      </c>
      <c r="C42">
        <v>18</v>
      </c>
      <c r="D42">
        <v>22</v>
      </c>
      <c r="E42">
        <v>240</v>
      </c>
      <c r="F42">
        <v>260</v>
      </c>
    </row>
    <row r="43" spans="1:7" x14ac:dyDescent="0.35">
      <c r="A43" t="s">
        <v>122</v>
      </c>
      <c r="B43" t="s">
        <v>116</v>
      </c>
      <c r="C43">
        <v>18</v>
      </c>
      <c r="D43">
        <v>22</v>
      </c>
      <c r="E43">
        <v>240</v>
      </c>
      <c r="F43">
        <v>260</v>
      </c>
    </row>
    <row r="44" spans="1:7" x14ac:dyDescent="0.35">
      <c r="A44" t="s">
        <v>123</v>
      </c>
      <c r="B44" t="s">
        <v>116</v>
      </c>
      <c r="C44">
        <v>18</v>
      </c>
      <c r="D44">
        <v>22</v>
      </c>
      <c r="E44">
        <v>240</v>
      </c>
      <c r="F44">
        <v>260</v>
      </c>
    </row>
    <row r="45" spans="1:7" x14ac:dyDescent="0.35">
      <c r="A45" t="s">
        <v>124</v>
      </c>
      <c r="B45" t="s">
        <v>116</v>
      </c>
      <c r="C45">
        <v>18</v>
      </c>
      <c r="D45">
        <v>22</v>
      </c>
      <c r="E45">
        <v>240</v>
      </c>
      <c r="F45">
        <v>260</v>
      </c>
    </row>
    <row r="46" spans="1:7" x14ac:dyDescent="0.35">
      <c r="A46" t="s">
        <v>125</v>
      </c>
      <c r="B46" t="s">
        <v>116</v>
      </c>
      <c r="C46">
        <v>18</v>
      </c>
      <c r="D46">
        <v>22</v>
      </c>
      <c r="E46">
        <v>240</v>
      </c>
      <c r="F46">
        <v>260</v>
      </c>
    </row>
    <row r="47" spans="1:7" x14ac:dyDescent="0.35">
      <c r="A47" t="s">
        <v>126</v>
      </c>
      <c r="B47" t="s">
        <v>116</v>
      </c>
      <c r="C47">
        <v>18</v>
      </c>
      <c r="D47">
        <v>22</v>
      </c>
      <c r="E47">
        <v>240</v>
      </c>
      <c r="F47">
        <v>260</v>
      </c>
    </row>
    <row r="48" spans="1:7" x14ac:dyDescent="0.35">
      <c r="A48" t="s">
        <v>127</v>
      </c>
      <c r="B48" t="s">
        <v>116</v>
      </c>
      <c r="C48">
        <v>18</v>
      </c>
      <c r="D48">
        <v>22</v>
      </c>
      <c r="E48">
        <v>240</v>
      </c>
      <c r="F48">
        <v>260</v>
      </c>
    </row>
    <row r="49" spans="1:6" x14ac:dyDescent="0.35">
      <c r="A49" t="s">
        <v>128</v>
      </c>
      <c r="B49" t="s">
        <v>116</v>
      </c>
      <c r="C49">
        <v>18</v>
      </c>
      <c r="D49">
        <v>22</v>
      </c>
      <c r="E49">
        <v>240</v>
      </c>
      <c r="F49">
        <v>260</v>
      </c>
    </row>
    <row r="50" spans="1:6" x14ac:dyDescent="0.35">
      <c r="A50" t="s">
        <v>129</v>
      </c>
      <c r="B50" t="s">
        <v>116</v>
      </c>
      <c r="C50">
        <v>18</v>
      </c>
      <c r="D50">
        <v>22</v>
      </c>
      <c r="E50">
        <v>240</v>
      </c>
      <c r="F50">
        <v>260</v>
      </c>
    </row>
    <row r="51" spans="1:6" x14ac:dyDescent="0.35">
      <c r="A51" t="s">
        <v>130</v>
      </c>
      <c r="B51" t="s">
        <v>116</v>
      </c>
      <c r="C51">
        <v>18</v>
      </c>
      <c r="D51">
        <v>22</v>
      </c>
      <c r="E51">
        <v>240</v>
      </c>
      <c r="F51">
        <v>260</v>
      </c>
    </row>
    <row r="52" spans="1:6" x14ac:dyDescent="0.35">
      <c r="A52" t="s">
        <v>131</v>
      </c>
      <c r="B52" t="s">
        <v>116</v>
      </c>
      <c r="C52">
        <v>18</v>
      </c>
      <c r="D52">
        <v>22</v>
      </c>
      <c r="E52">
        <v>240</v>
      </c>
      <c r="F52">
        <v>260</v>
      </c>
    </row>
    <row r="53" spans="1:6" x14ac:dyDescent="0.35">
      <c r="A53" t="s">
        <v>132</v>
      </c>
      <c r="B53" t="s">
        <v>116</v>
      </c>
      <c r="C53">
        <v>18</v>
      </c>
      <c r="D53">
        <v>22</v>
      </c>
      <c r="E53">
        <v>240</v>
      </c>
      <c r="F53">
        <v>260</v>
      </c>
    </row>
    <row r="54" spans="1:6" x14ac:dyDescent="0.35">
      <c r="A54" t="s">
        <v>133</v>
      </c>
      <c r="B54" t="s">
        <v>116</v>
      </c>
      <c r="C54">
        <v>18</v>
      </c>
      <c r="D54">
        <v>22</v>
      </c>
      <c r="E54">
        <v>240</v>
      </c>
      <c r="F54">
        <v>260</v>
      </c>
    </row>
    <row r="55" spans="1:6" x14ac:dyDescent="0.35">
      <c r="A55" t="s">
        <v>134</v>
      </c>
      <c r="B55" t="s">
        <v>116</v>
      </c>
      <c r="C55">
        <v>18</v>
      </c>
      <c r="D55">
        <v>22</v>
      </c>
      <c r="E55">
        <v>240</v>
      </c>
      <c r="F55">
        <v>260</v>
      </c>
    </row>
    <row r="56" spans="1:6" x14ac:dyDescent="0.35">
      <c r="A56" t="s">
        <v>135</v>
      </c>
      <c r="B56" t="s">
        <v>116</v>
      </c>
      <c r="C56">
        <v>18</v>
      </c>
      <c r="D56">
        <v>22</v>
      </c>
      <c r="E56">
        <v>240</v>
      </c>
      <c r="F56">
        <v>260</v>
      </c>
    </row>
    <row r="57" spans="1:6" x14ac:dyDescent="0.35">
      <c r="A57" t="s">
        <v>136</v>
      </c>
      <c r="B57" t="s">
        <v>116</v>
      </c>
      <c r="C57">
        <v>18</v>
      </c>
      <c r="D57">
        <v>22</v>
      </c>
      <c r="E57">
        <v>240</v>
      </c>
      <c r="F57">
        <v>260</v>
      </c>
    </row>
    <row r="58" spans="1:6" x14ac:dyDescent="0.35">
      <c r="A58" t="s">
        <v>137</v>
      </c>
      <c r="B58" t="s">
        <v>116</v>
      </c>
      <c r="C58">
        <v>18</v>
      </c>
      <c r="D58">
        <v>22</v>
      </c>
      <c r="E58">
        <v>240</v>
      </c>
      <c r="F58">
        <v>260</v>
      </c>
    </row>
    <row r="59" spans="1:6" x14ac:dyDescent="0.35">
      <c r="A59" t="s">
        <v>138</v>
      </c>
      <c r="B59" t="s">
        <v>116</v>
      </c>
      <c r="C59">
        <v>18</v>
      </c>
      <c r="D59">
        <v>22</v>
      </c>
      <c r="E59">
        <v>240</v>
      </c>
      <c r="F59">
        <v>260</v>
      </c>
    </row>
    <row r="60" spans="1:6" x14ac:dyDescent="0.35">
      <c r="A60" t="s">
        <v>139</v>
      </c>
      <c r="B60" t="s">
        <v>116</v>
      </c>
      <c r="C60">
        <v>18</v>
      </c>
      <c r="D60">
        <v>22</v>
      </c>
      <c r="E60">
        <v>240</v>
      </c>
      <c r="F60">
        <v>260</v>
      </c>
    </row>
    <row r="61" spans="1:6" x14ac:dyDescent="0.35">
      <c r="A61" t="s">
        <v>140</v>
      </c>
      <c r="B61" t="s">
        <v>116</v>
      </c>
      <c r="C61">
        <v>18</v>
      </c>
      <c r="D61">
        <v>22</v>
      </c>
      <c r="E61">
        <v>240</v>
      </c>
      <c r="F61">
        <v>260</v>
      </c>
    </row>
    <row r="62" spans="1:6" x14ac:dyDescent="0.35">
      <c r="A62" t="s">
        <v>141</v>
      </c>
      <c r="B62" t="s">
        <v>116</v>
      </c>
      <c r="C62">
        <v>18</v>
      </c>
      <c r="D62">
        <v>22</v>
      </c>
      <c r="E62">
        <v>240</v>
      </c>
      <c r="F62">
        <v>260</v>
      </c>
    </row>
    <row r="63" spans="1:6" x14ac:dyDescent="0.35">
      <c r="A63" t="s">
        <v>142</v>
      </c>
      <c r="B63" t="s">
        <v>116</v>
      </c>
      <c r="C63">
        <v>18</v>
      </c>
      <c r="D63">
        <v>22</v>
      </c>
      <c r="E63">
        <v>240</v>
      </c>
      <c r="F63">
        <v>260</v>
      </c>
    </row>
    <row r="64" spans="1:6" x14ac:dyDescent="0.35">
      <c r="A64" t="s">
        <v>143</v>
      </c>
      <c r="B64" t="s">
        <v>116</v>
      </c>
      <c r="C64">
        <v>18</v>
      </c>
      <c r="D64">
        <v>22</v>
      </c>
      <c r="E64">
        <v>240</v>
      </c>
      <c r="F64">
        <v>260</v>
      </c>
    </row>
    <row r="65" spans="1:7" x14ac:dyDescent="0.35">
      <c r="A65" t="s">
        <v>144</v>
      </c>
      <c r="B65" t="s">
        <v>116</v>
      </c>
      <c r="C65">
        <v>18</v>
      </c>
      <c r="D65">
        <v>22</v>
      </c>
      <c r="E65">
        <v>240</v>
      </c>
      <c r="F65">
        <v>260</v>
      </c>
    </row>
    <row r="66" spans="1:7" x14ac:dyDescent="0.35">
      <c r="A66" t="s">
        <v>145</v>
      </c>
      <c r="B66" t="s">
        <v>116</v>
      </c>
      <c r="C66">
        <v>18</v>
      </c>
      <c r="D66">
        <v>22</v>
      </c>
      <c r="E66">
        <v>240</v>
      </c>
      <c r="F66">
        <v>260</v>
      </c>
    </row>
    <row r="67" spans="1:7" x14ac:dyDescent="0.35">
      <c r="A67" t="s">
        <v>146</v>
      </c>
      <c r="B67" t="s">
        <v>116</v>
      </c>
      <c r="C67">
        <v>18</v>
      </c>
      <c r="D67">
        <v>22</v>
      </c>
      <c r="E67">
        <v>240</v>
      </c>
      <c r="F67">
        <v>260</v>
      </c>
    </row>
    <row r="68" spans="1:7" x14ac:dyDescent="0.35">
      <c r="A68" t="s">
        <v>147</v>
      </c>
      <c r="B68" t="s">
        <v>116</v>
      </c>
      <c r="C68">
        <v>18</v>
      </c>
      <c r="D68">
        <v>22</v>
      </c>
      <c r="E68">
        <v>240</v>
      </c>
      <c r="F68">
        <v>260</v>
      </c>
    </row>
    <row r="69" spans="1:7" x14ac:dyDescent="0.35">
      <c r="A69" t="s">
        <v>148</v>
      </c>
      <c r="B69" t="s">
        <v>116</v>
      </c>
      <c r="C69">
        <v>18</v>
      </c>
      <c r="D69">
        <v>22</v>
      </c>
      <c r="E69">
        <v>240</v>
      </c>
      <c r="F69">
        <v>260</v>
      </c>
    </row>
    <row r="70" spans="1:7" x14ac:dyDescent="0.35">
      <c r="A70" t="s">
        <v>149</v>
      </c>
      <c r="B70" t="s">
        <v>91</v>
      </c>
      <c r="C70">
        <v>15</v>
      </c>
      <c r="D70">
        <v>17</v>
      </c>
      <c r="E70">
        <v>210</v>
      </c>
      <c r="F70">
        <v>220</v>
      </c>
      <c r="G70" t="s">
        <v>150</v>
      </c>
    </row>
    <row r="71" spans="1:7" x14ac:dyDescent="0.35">
      <c r="A71" t="s">
        <v>151</v>
      </c>
      <c r="B71" t="s">
        <v>91</v>
      </c>
      <c r="C71">
        <v>15</v>
      </c>
      <c r="D71">
        <v>17</v>
      </c>
      <c r="E71">
        <v>210</v>
      </c>
      <c r="F71">
        <v>220</v>
      </c>
      <c r="G71" t="s">
        <v>150</v>
      </c>
    </row>
    <row r="72" spans="1:7" x14ac:dyDescent="0.35">
      <c r="A72" t="s">
        <v>152</v>
      </c>
      <c r="B72" t="s">
        <v>91</v>
      </c>
      <c r="C72">
        <v>15</v>
      </c>
      <c r="D72">
        <v>17</v>
      </c>
      <c r="E72">
        <v>210</v>
      </c>
      <c r="F72">
        <v>220</v>
      </c>
      <c r="G72" t="s">
        <v>150</v>
      </c>
    </row>
    <row r="73" spans="1:7" x14ac:dyDescent="0.35">
      <c r="A73" t="s">
        <v>153</v>
      </c>
      <c r="B73" t="s">
        <v>91</v>
      </c>
      <c r="C73">
        <v>14</v>
      </c>
      <c r="D73">
        <v>16</v>
      </c>
      <c r="E73">
        <v>200</v>
      </c>
      <c r="F73">
        <v>210</v>
      </c>
      <c r="G73" t="s">
        <v>154</v>
      </c>
    </row>
    <row r="74" spans="1:7" x14ac:dyDescent="0.35">
      <c r="A74" t="s">
        <v>155</v>
      </c>
      <c r="B74" t="s">
        <v>91</v>
      </c>
      <c r="C74">
        <v>14</v>
      </c>
      <c r="D74">
        <v>16</v>
      </c>
      <c r="E74">
        <v>200</v>
      </c>
      <c r="F74">
        <v>210</v>
      </c>
      <c r="G74" t="s">
        <v>154</v>
      </c>
    </row>
    <row r="75" spans="1:7" x14ac:dyDescent="0.35">
      <c r="A75" t="s">
        <v>156</v>
      </c>
      <c r="B75" t="s">
        <v>91</v>
      </c>
      <c r="C75">
        <v>14</v>
      </c>
      <c r="D75">
        <v>16</v>
      </c>
      <c r="E75">
        <v>200</v>
      </c>
      <c r="F75">
        <v>210</v>
      </c>
      <c r="G75" t="s">
        <v>154</v>
      </c>
    </row>
    <row r="76" spans="1:7" x14ac:dyDescent="0.35">
      <c r="A76" t="s">
        <v>157</v>
      </c>
      <c r="B76" t="s">
        <v>91</v>
      </c>
      <c r="C76">
        <v>14</v>
      </c>
      <c r="D76">
        <v>16</v>
      </c>
      <c r="E76">
        <v>200</v>
      </c>
      <c r="F76">
        <v>210</v>
      </c>
      <c r="G76" t="s">
        <v>154</v>
      </c>
    </row>
    <row r="77" spans="1:7" x14ac:dyDescent="0.35">
      <c r="A77" t="s">
        <v>158</v>
      </c>
      <c r="B77" t="s">
        <v>91</v>
      </c>
      <c r="C77">
        <v>14</v>
      </c>
      <c r="D77">
        <v>16</v>
      </c>
      <c r="E77">
        <v>200</v>
      </c>
      <c r="F77">
        <v>210</v>
      </c>
      <c r="G77" t="s">
        <v>154</v>
      </c>
    </row>
    <row r="78" spans="1:7" x14ac:dyDescent="0.35">
      <c r="A78" t="s">
        <v>159</v>
      </c>
      <c r="B78" t="s">
        <v>91</v>
      </c>
      <c r="C78">
        <v>15</v>
      </c>
      <c r="D78">
        <v>17</v>
      </c>
      <c r="E78">
        <v>205</v>
      </c>
      <c r="F78">
        <v>215</v>
      </c>
      <c r="G78" t="s">
        <v>160</v>
      </c>
    </row>
    <row r="79" spans="1:7" x14ac:dyDescent="0.35">
      <c r="A79" t="s">
        <v>161</v>
      </c>
      <c r="B79" t="s">
        <v>91</v>
      </c>
      <c r="C79">
        <v>15</v>
      </c>
      <c r="D79">
        <v>17</v>
      </c>
      <c r="E79">
        <v>205</v>
      </c>
      <c r="F79">
        <v>215</v>
      </c>
      <c r="G79" t="s">
        <v>160</v>
      </c>
    </row>
    <row r="80" spans="1:7" x14ac:dyDescent="0.35">
      <c r="A80" t="s">
        <v>162</v>
      </c>
      <c r="B80" t="s">
        <v>91</v>
      </c>
      <c r="C80">
        <v>16</v>
      </c>
      <c r="D80">
        <v>18</v>
      </c>
      <c r="E80">
        <v>210</v>
      </c>
      <c r="F80">
        <v>220</v>
      </c>
      <c r="G80" t="s">
        <v>160</v>
      </c>
    </row>
    <row r="81" spans="1:7" x14ac:dyDescent="0.35">
      <c r="A81" t="s">
        <v>163</v>
      </c>
      <c r="B81" t="s">
        <v>91</v>
      </c>
      <c r="C81">
        <v>18</v>
      </c>
      <c r="D81">
        <v>20</v>
      </c>
      <c r="E81">
        <v>230</v>
      </c>
      <c r="F81">
        <v>240</v>
      </c>
      <c r="G81" t="s">
        <v>164</v>
      </c>
    </row>
    <row r="82" spans="1:7" x14ac:dyDescent="0.35">
      <c r="A82" t="s">
        <v>165</v>
      </c>
      <c r="B82" t="s">
        <v>91</v>
      </c>
      <c r="C82">
        <v>15</v>
      </c>
      <c r="D82">
        <v>17</v>
      </c>
      <c r="E82">
        <v>205</v>
      </c>
      <c r="F82">
        <v>215</v>
      </c>
      <c r="G82" t="s">
        <v>166</v>
      </c>
    </row>
    <row r="83" spans="1:7" x14ac:dyDescent="0.35">
      <c r="A83" t="s">
        <v>167</v>
      </c>
      <c r="B83" t="s">
        <v>91</v>
      </c>
      <c r="C83">
        <v>16</v>
      </c>
      <c r="D83">
        <v>18</v>
      </c>
      <c r="E83">
        <v>210</v>
      </c>
      <c r="F83">
        <v>220</v>
      </c>
      <c r="G83" t="s">
        <v>168</v>
      </c>
    </row>
    <row r="84" spans="1:7" x14ac:dyDescent="0.35">
      <c r="A84" t="s">
        <v>169</v>
      </c>
      <c r="B84" t="s">
        <v>91</v>
      </c>
      <c r="C84">
        <v>16</v>
      </c>
      <c r="D84">
        <v>18</v>
      </c>
      <c r="E84">
        <v>210</v>
      </c>
      <c r="F84">
        <v>220</v>
      </c>
      <c r="G84" t="s">
        <v>166</v>
      </c>
    </row>
    <row r="85" spans="1:7" x14ac:dyDescent="0.35">
      <c r="A85" t="s">
        <v>170</v>
      </c>
      <c r="B85" t="s">
        <v>91</v>
      </c>
      <c r="C85">
        <v>18</v>
      </c>
      <c r="D85">
        <v>20</v>
      </c>
      <c r="E85">
        <v>230</v>
      </c>
      <c r="F85">
        <v>240</v>
      </c>
      <c r="G85" t="s">
        <v>168</v>
      </c>
    </row>
    <row r="86" spans="1:7" x14ac:dyDescent="0.35">
      <c r="A86" t="s">
        <v>171</v>
      </c>
      <c r="B86" t="s">
        <v>91</v>
      </c>
      <c r="C86">
        <v>16</v>
      </c>
      <c r="D86">
        <v>18</v>
      </c>
      <c r="E86">
        <v>210</v>
      </c>
      <c r="F86">
        <v>220</v>
      </c>
      <c r="G86" t="s">
        <v>166</v>
      </c>
    </row>
    <row r="87" spans="1:7" x14ac:dyDescent="0.35">
      <c r="A87" t="s">
        <v>172</v>
      </c>
      <c r="B87" t="s">
        <v>91</v>
      </c>
      <c r="C87">
        <v>18</v>
      </c>
      <c r="D87">
        <v>20</v>
      </c>
      <c r="E87">
        <v>230</v>
      </c>
      <c r="F87">
        <v>240</v>
      </c>
      <c r="G87" t="s">
        <v>168</v>
      </c>
    </row>
    <row r="88" spans="1:7" x14ac:dyDescent="0.35">
      <c r="A88" t="s">
        <v>173</v>
      </c>
      <c r="B88" t="s">
        <v>91</v>
      </c>
      <c r="C88">
        <v>19</v>
      </c>
      <c r="D88">
        <v>22</v>
      </c>
      <c r="E88">
        <v>235</v>
      </c>
      <c r="F88">
        <v>245</v>
      </c>
      <c r="G88" t="s">
        <v>174</v>
      </c>
    </row>
    <row r="89" spans="1:7" x14ac:dyDescent="0.35">
      <c r="A89" t="s">
        <v>175</v>
      </c>
      <c r="B89" t="s">
        <v>91</v>
      </c>
      <c r="C89">
        <v>16</v>
      </c>
      <c r="D89">
        <v>18</v>
      </c>
      <c r="E89">
        <v>210</v>
      </c>
      <c r="F89">
        <v>220</v>
      </c>
      <c r="G89" t="s">
        <v>176</v>
      </c>
    </row>
    <row r="90" spans="1:7" x14ac:dyDescent="0.35">
      <c r="A90" t="s">
        <v>177</v>
      </c>
      <c r="B90" t="s">
        <v>91</v>
      </c>
      <c r="C90">
        <v>16</v>
      </c>
      <c r="D90">
        <v>18</v>
      </c>
      <c r="E90">
        <v>210</v>
      </c>
      <c r="F90">
        <v>220</v>
      </c>
      <c r="G90" t="s">
        <v>176</v>
      </c>
    </row>
    <row r="91" spans="1:7" x14ac:dyDescent="0.35">
      <c r="A91" t="s">
        <v>178</v>
      </c>
      <c r="B91" t="s">
        <v>91</v>
      </c>
      <c r="C91">
        <v>16</v>
      </c>
      <c r="D91">
        <v>18</v>
      </c>
      <c r="E91">
        <v>210</v>
      </c>
      <c r="F91">
        <v>220</v>
      </c>
      <c r="G91" t="s">
        <v>176</v>
      </c>
    </row>
    <row r="92" spans="1:7" x14ac:dyDescent="0.35">
      <c r="A92" t="s">
        <v>179</v>
      </c>
      <c r="B92" t="s">
        <v>91</v>
      </c>
      <c r="C92">
        <v>18</v>
      </c>
      <c r="D92">
        <v>20</v>
      </c>
      <c r="E92">
        <v>230</v>
      </c>
      <c r="F92">
        <v>240</v>
      </c>
      <c r="G92" t="s">
        <v>180</v>
      </c>
    </row>
    <row r="93" spans="1:7" x14ac:dyDescent="0.35">
      <c r="A93" t="s">
        <v>181</v>
      </c>
      <c r="B93" t="s">
        <v>91</v>
      </c>
      <c r="C93">
        <v>18</v>
      </c>
      <c r="D93">
        <v>20</v>
      </c>
      <c r="E93">
        <v>230</v>
      </c>
      <c r="F93">
        <v>240</v>
      </c>
      <c r="G93" t="s">
        <v>182</v>
      </c>
    </row>
    <row r="94" spans="1:7" x14ac:dyDescent="0.35">
      <c r="A94" t="s">
        <v>183</v>
      </c>
      <c r="B94" t="s">
        <v>60</v>
      </c>
      <c r="C94">
        <v>16</v>
      </c>
      <c r="D94">
        <v>18</v>
      </c>
      <c r="E94">
        <v>220</v>
      </c>
      <c r="F94">
        <v>230</v>
      </c>
      <c r="G94" t="s">
        <v>184</v>
      </c>
    </row>
    <row r="95" spans="1:7" x14ac:dyDescent="0.35">
      <c r="A95" t="s">
        <v>185</v>
      </c>
      <c r="B95" t="s">
        <v>60</v>
      </c>
      <c r="C95">
        <v>16</v>
      </c>
      <c r="D95">
        <v>18</v>
      </c>
      <c r="E95">
        <v>220</v>
      </c>
      <c r="F95">
        <v>230</v>
      </c>
      <c r="G95" t="s">
        <v>184</v>
      </c>
    </row>
    <row r="96" spans="1:7" x14ac:dyDescent="0.35">
      <c r="A96" t="s">
        <v>186</v>
      </c>
      <c r="B96" t="s">
        <v>60</v>
      </c>
      <c r="C96">
        <v>17</v>
      </c>
      <c r="D96">
        <v>19</v>
      </c>
      <c r="E96">
        <v>225</v>
      </c>
      <c r="F96">
        <v>235</v>
      </c>
      <c r="G96" t="s">
        <v>184</v>
      </c>
    </row>
    <row r="97" spans="1:7" x14ac:dyDescent="0.35">
      <c r="A97" t="s">
        <v>187</v>
      </c>
      <c r="B97" t="s">
        <v>60</v>
      </c>
      <c r="C97">
        <v>16</v>
      </c>
      <c r="D97">
        <v>18</v>
      </c>
      <c r="E97">
        <v>220</v>
      </c>
      <c r="F97">
        <v>230</v>
      </c>
      <c r="G97" t="s">
        <v>184</v>
      </c>
    </row>
    <row r="98" spans="1:7" x14ac:dyDescent="0.35">
      <c r="A98" t="s">
        <v>188</v>
      </c>
      <c r="B98" t="s">
        <v>60</v>
      </c>
      <c r="C98">
        <v>16</v>
      </c>
      <c r="D98">
        <v>18</v>
      </c>
      <c r="E98">
        <v>220</v>
      </c>
      <c r="F98">
        <v>230</v>
      </c>
      <c r="G98" t="s">
        <v>184</v>
      </c>
    </row>
    <row r="99" spans="1:7" x14ac:dyDescent="0.35">
      <c r="A99" t="s">
        <v>189</v>
      </c>
      <c r="B99" t="s">
        <v>60</v>
      </c>
      <c r="C99">
        <v>15</v>
      </c>
      <c r="D99">
        <v>17</v>
      </c>
      <c r="E99">
        <v>210</v>
      </c>
      <c r="F99">
        <v>220</v>
      </c>
      <c r="G99" t="s">
        <v>190</v>
      </c>
    </row>
    <row r="100" spans="1:7" x14ac:dyDescent="0.35">
      <c r="A100" t="s">
        <v>191</v>
      </c>
      <c r="B100" t="s">
        <v>60</v>
      </c>
      <c r="C100">
        <v>15</v>
      </c>
      <c r="D100">
        <v>17</v>
      </c>
      <c r="E100">
        <v>210</v>
      </c>
      <c r="F100">
        <v>220</v>
      </c>
      <c r="G100" t="s">
        <v>190</v>
      </c>
    </row>
    <row r="101" spans="1:7" x14ac:dyDescent="0.35">
      <c r="A101" t="s">
        <v>192</v>
      </c>
      <c r="B101" t="s">
        <v>60</v>
      </c>
      <c r="C101">
        <v>15</v>
      </c>
      <c r="D101">
        <v>17</v>
      </c>
      <c r="E101">
        <v>210</v>
      </c>
      <c r="F101">
        <v>220</v>
      </c>
      <c r="G101" t="s">
        <v>190</v>
      </c>
    </row>
    <row r="102" spans="1:7" x14ac:dyDescent="0.35">
      <c r="A102" t="s">
        <v>193</v>
      </c>
      <c r="B102" t="s">
        <v>60</v>
      </c>
      <c r="C102">
        <v>17</v>
      </c>
      <c r="D102">
        <v>19</v>
      </c>
      <c r="E102">
        <v>225</v>
      </c>
      <c r="F102">
        <v>235</v>
      </c>
      <c r="G102" t="s">
        <v>194</v>
      </c>
    </row>
    <row r="103" spans="1:7" x14ac:dyDescent="0.35">
      <c r="A103" t="s">
        <v>195</v>
      </c>
      <c r="B103" t="s">
        <v>60</v>
      </c>
      <c r="C103">
        <v>16</v>
      </c>
      <c r="D103">
        <v>18</v>
      </c>
      <c r="E103">
        <v>220</v>
      </c>
      <c r="F103">
        <v>230</v>
      </c>
      <c r="G103" t="s">
        <v>184</v>
      </c>
    </row>
    <row r="104" spans="1:7" x14ac:dyDescent="0.35">
      <c r="A104" t="s">
        <v>196</v>
      </c>
      <c r="B104" t="s">
        <v>60</v>
      </c>
      <c r="C104">
        <v>16</v>
      </c>
      <c r="D104">
        <v>18</v>
      </c>
      <c r="E104">
        <v>220</v>
      </c>
      <c r="F104">
        <v>230</v>
      </c>
      <c r="G104" t="s">
        <v>184</v>
      </c>
    </row>
    <row r="105" spans="1:7" x14ac:dyDescent="0.35">
      <c r="A105" t="s">
        <v>197</v>
      </c>
      <c r="B105" t="s">
        <v>60</v>
      </c>
      <c r="C105">
        <v>17</v>
      </c>
      <c r="D105">
        <v>19</v>
      </c>
      <c r="E105">
        <v>225</v>
      </c>
      <c r="F105">
        <v>235</v>
      </c>
      <c r="G105" t="s">
        <v>198</v>
      </c>
    </row>
    <row r="106" spans="1:7" x14ac:dyDescent="0.35">
      <c r="A106" t="s">
        <v>199</v>
      </c>
      <c r="B106" t="s">
        <v>60</v>
      </c>
      <c r="C106">
        <v>16</v>
      </c>
      <c r="D106">
        <v>18</v>
      </c>
      <c r="E106">
        <v>220</v>
      </c>
      <c r="F106">
        <v>230</v>
      </c>
      <c r="G106" t="s">
        <v>198</v>
      </c>
    </row>
    <row r="107" spans="1:7" x14ac:dyDescent="0.35">
      <c r="A107" t="s">
        <v>200</v>
      </c>
      <c r="B107" t="s">
        <v>60</v>
      </c>
      <c r="C107">
        <v>16</v>
      </c>
      <c r="D107">
        <v>18</v>
      </c>
      <c r="E107">
        <v>220</v>
      </c>
      <c r="F107">
        <v>230</v>
      </c>
      <c r="G107" t="s">
        <v>198</v>
      </c>
    </row>
    <row r="108" spans="1:7" x14ac:dyDescent="0.35">
      <c r="A108" t="s">
        <v>201</v>
      </c>
      <c r="B108" t="s">
        <v>60</v>
      </c>
      <c r="C108">
        <v>18</v>
      </c>
      <c r="D108">
        <v>20</v>
      </c>
      <c r="E108">
        <v>230</v>
      </c>
      <c r="F108">
        <v>240</v>
      </c>
      <c r="G108" t="s">
        <v>202</v>
      </c>
    </row>
    <row r="109" spans="1:7" x14ac:dyDescent="0.35">
      <c r="A109" t="s">
        <v>203</v>
      </c>
      <c r="B109" t="s">
        <v>60</v>
      </c>
      <c r="C109">
        <v>18</v>
      </c>
      <c r="D109">
        <v>20</v>
      </c>
      <c r="E109">
        <v>230</v>
      </c>
      <c r="F109">
        <v>240</v>
      </c>
      <c r="G109" t="s">
        <v>202</v>
      </c>
    </row>
    <row r="110" spans="1:7" x14ac:dyDescent="0.35">
      <c r="A110" t="s">
        <v>204</v>
      </c>
      <c r="B110" t="s">
        <v>60</v>
      </c>
      <c r="C110">
        <v>19</v>
      </c>
      <c r="D110">
        <v>22</v>
      </c>
      <c r="E110">
        <v>235</v>
      </c>
      <c r="F110">
        <v>245</v>
      </c>
      <c r="G110" t="s">
        <v>205</v>
      </c>
    </row>
    <row r="111" spans="1:7" x14ac:dyDescent="0.35">
      <c r="A111" t="s">
        <v>206</v>
      </c>
      <c r="B111" t="s">
        <v>68</v>
      </c>
      <c r="C111">
        <v>18</v>
      </c>
      <c r="D111">
        <v>20</v>
      </c>
      <c r="E111">
        <v>235</v>
      </c>
      <c r="F111">
        <v>245</v>
      </c>
      <c r="G111" t="s">
        <v>207</v>
      </c>
    </row>
    <row r="112" spans="1:7" x14ac:dyDescent="0.35">
      <c r="A112" t="s">
        <v>208</v>
      </c>
      <c r="B112" t="s">
        <v>68</v>
      </c>
      <c r="C112">
        <v>17</v>
      </c>
      <c r="D112">
        <v>19</v>
      </c>
      <c r="E112">
        <v>225</v>
      </c>
      <c r="F112">
        <v>235</v>
      </c>
      <c r="G112" t="s">
        <v>207</v>
      </c>
    </row>
    <row r="113" spans="1:7" x14ac:dyDescent="0.35">
      <c r="A113" t="s">
        <v>209</v>
      </c>
      <c r="B113" t="s">
        <v>68</v>
      </c>
      <c r="C113">
        <v>17</v>
      </c>
      <c r="D113">
        <v>19</v>
      </c>
      <c r="E113">
        <v>225</v>
      </c>
      <c r="F113">
        <v>235</v>
      </c>
      <c r="G113" t="s">
        <v>207</v>
      </c>
    </row>
    <row r="114" spans="1:7" x14ac:dyDescent="0.35">
      <c r="A114" t="s">
        <v>210</v>
      </c>
      <c r="B114" t="s">
        <v>68</v>
      </c>
      <c r="C114">
        <v>18</v>
      </c>
      <c r="D114">
        <v>20</v>
      </c>
      <c r="E114">
        <v>235</v>
      </c>
      <c r="F114">
        <v>245</v>
      </c>
      <c r="G114" t="s">
        <v>207</v>
      </c>
    </row>
    <row r="115" spans="1:7" x14ac:dyDescent="0.35">
      <c r="A115" t="s">
        <v>211</v>
      </c>
      <c r="B115" t="s">
        <v>68</v>
      </c>
      <c r="C115">
        <v>17</v>
      </c>
      <c r="D115">
        <v>19</v>
      </c>
      <c r="E115">
        <v>225</v>
      </c>
      <c r="F115">
        <v>235</v>
      </c>
      <c r="G115" t="s">
        <v>207</v>
      </c>
    </row>
    <row r="116" spans="1:7" x14ac:dyDescent="0.35">
      <c r="A116" t="s">
        <v>212</v>
      </c>
      <c r="B116" t="s">
        <v>68</v>
      </c>
      <c r="C116">
        <v>18</v>
      </c>
      <c r="D116">
        <v>21</v>
      </c>
      <c r="E116">
        <v>245</v>
      </c>
      <c r="F116">
        <v>255</v>
      </c>
      <c r="G116" t="s">
        <v>207</v>
      </c>
    </row>
    <row r="117" spans="1:7" x14ac:dyDescent="0.35">
      <c r="A117" t="s">
        <v>213</v>
      </c>
      <c r="B117" t="s">
        <v>68</v>
      </c>
      <c r="C117">
        <v>18</v>
      </c>
      <c r="D117">
        <v>21</v>
      </c>
      <c r="E117">
        <v>245</v>
      </c>
      <c r="F117">
        <v>255</v>
      </c>
      <c r="G117" t="s">
        <v>214</v>
      </c>
    </row>
    <row r="118" spans="1:7" x14ac:dyDescent="0.35">
      <c r="A118" t="s">
        <v>215</v>
      </c>
      <c r="B118" t="s">
        <v>68</v>
      </c>
      <c r="C118">
        <v>18</v>
      </c>
      <c r="D118">
        <v>21</v>
      </c>
      <c r="E118">
        <v>245</v>
      </c>
      <c r="F118">
        <v>255</v>
      </c>
      <c r="G118" t="s">
        <v>214</v>
      </c>
    </row>
    <row r="119" spans="1:7" x14ac:dyDescent="0.35">
      <c r="A119" t="s">
        <v>216</v>
      </c>
      <c r="B119" t="s">
        <v>68</v>
      </c>
      <c r="C119">
        <v>20</v>
      </c>
      <c r="D119">
        <v>24</v>
      </c>
      <c r="E119">
        <v>245</v>
      </c>
      <c r="F119">
        <v>255</v>
      </c>
      <c r="G119" t="s">
        <v>217</v>
      </c>
    </row>
    <row r="120" spans="1:7" x14ac:dyDescent="0.35">
      <c r="A120" t="s">
        <v>218</v>
      </c>
      <c r="B120" t="s">
        <v>68</v>
      </c>
      <c r="C120">
        <v>20</v>
      </c>
      <c r="D120">
        <v>24</v>
      </c>
      <c r="E120">
        <v>250</v>
      </c>
      <c r="F120">
        <v>260</v>
      </c>
      <c r="G120" t="s">
        <v>219</v>
      </c>
    </row>
    <row r="121" spans="1:7" x14ac:dyDescent="0.35">
      <c r="A121" t="s">
        <v>220</v>
      </c>
      <c r="B121" t="s">
        <v>68</v>
      </c>
      <c r="C121">
        <v>20</v>
      </c>
      <c r="D121">
        <v>24</v>
      </c>
      <c r="E121">
        <v>250</v>
      </c>
      <c r="F121">
        <v>260</v>
      </c>
      <c r="G121" t="s">
        <v>164</v>
      </c>
    </row>
    <row r="122" spans="1:7" x14ac:dyDescent="0.35">
      <c r="A122" t="s">
        <v>221</v>
      </c>
      <c r="B122" t="s">
        <v>68</v>
      </c>
      <c r="C122">
        <v>20</v>
      </c>
      <c r="D122">
        <v>24</v>
      </c>
      <c r="E122">
        <v>250</v>
      </c>
      <c r="F122">
        <v>260</v>
      </c>
      <c r="G122" t="s">
        <v>164</v>
      </c>
    </row>
    <row r="123" spans="1:7" x14ac:dyDescent="0.35">
      <c r="A123" t="s">
        <v>222</v>
      </c>
      <c r="B123" t="s">
        <v>68</v>
      </c>
      <c r="C123">
        <v>18</v>
      </c>
      <c r="D123">
        <v>21</v>
      </c>
      <c r="E123">
        <v>245</v>
      </c>
      <c r="F123">
        <v>255</v>
      </c>
      <c r="G123" t="s">
        <v>223</v>
      </c>
    </row>
    <row r="124" spans="1:7" x14ac:dyDescent="0.35">
      <c r="A124" t="s">
        <v>224</v>
      </c>
      <c r="B124" t="s">
        <v>68</v>
      </c>
      <c r="C124">
        <v>20</v>
      </c>
      <c r="D124">
        <v>24</v>
      </c>
      <c r="E124">
        <v>250</v>
      </c>
      <c r="F124">
        <v>260</v>
      </c>
      <c r="G124" t="s">
        <v>168</v>
      </c>
    </row>
    <row r="125" spans="1:7" x14ac:dyDescent="0.35">
      <c r="A125" t="s">
        <v>225</v>
      </c>
      <c r="B125" t="s">
        <v>68</v>
      </c>
      <c r="C125">
        <v>18</v>
      </c>
      <c r="D125">
        <v>21</v>
      </c>
      <c r="E125">
        <v>245</v>
      </c>
      <c r="F125">
        <v>255</v>
      </c>
      <c r="G125" t="s">
        <v>223</v>
      </c>
    </row>
    <row r="126" spans="1:7" x14ac:dyDescent="0.35">
      <c r="A126" t="s">
        <v>226</v>
      </c>
      <c r="B126" t="s">
        <v>68</v>
      </c>
      <c r="C126">
        <v>18</v>
      </c>
      <c r="D126">
        <v>21</v>
      </c>
      <c r="E126">
        <v>245</v>
      </c>
      <c r="F126">
        <v>255</v>
      </c>
      <c r="G126" t="s">
        <v>223</v>
      </c>
    </row>
    <row r="127" spans="1:7" x14ac:dyDescent="0.35">
      <c r="A127" t="s">
        <v>227</v>
      </c>
      <c r="B127" t="s">
        <v>76</v>
      </c>
      <c r="C127">
        <v>22</v>
      </c>
      <c r="D127">
        <v>26</v>
      </c>
      <c r="E127">
        <v>280</v>
      </c>
      <c r="F127">
        <v>295</v>
      </c>
      <c r="G127" t="s">
        <v>228</v>
      </c>
    </row>
    <row r="128" spans="1:7" x14ac:dyDescent="0.35">
      <c r="A128" t="s">
        <v>229</v>
      </c>
      <c r="B128" t="s">
        <v>76</v>
      </c>
      <c r="C128">
        <v>20</v>
      </c>
      <c r="D128">
        <v>24</v>
      </c>
      <c r="E128">
        <v>260</v>
      </c>
      <c r="F128">
        <v>275</v>
      </c>
      <c r="G128" t="s">
        <v>228</v>
      </c>
    </row>
    <row r="129" spans="1:7" x14ac:dyDescent="0.35">
      <c r="A129" t="s">
        <v>230</v>
      </c>
      <c r="B129" t="s">
        <v>76</v>
      </c>
      <c r="C129">
        <v>22</v>
      </c>
      <c r="D129">
        <v>26</v>
      </c>
      <c r="E129">
        <v>280</v>
      </c>
      <c r="F129">
        <v>295</v>
      </c>
      <c r="G129" t="s">
        <v>228</v>
      </c>
    </row>
    <row r="130" spans="1:7" x14ac:dyDescent="0.35">
      <c r="A130" t="s">
        <v>231</v>
      </c>
      <c r="B130" t="s">
        <v>76</v>
      </c>
      <c r="C130">
        <v>22</v>
      </c>
      <c r="D130">
        <v>26</v>
      </c>
      <c r="E130">
        <v>285</v>
      </c>
      <c r="F130">
        <v>300</v>
      </c>
      <c r="G130" t="s">
        <v>228</v>
      </c>
    </row>
    <row r="131" spans="1:7" x14ac:dyDescent="0.35">
      <c r="A131" t="s">
        <v>232</v>
      </c>
      <c r="B131" t="s">
        <v>76</v>
      </c>
      <c r="C131">
        <v>24</v>
      </c>
      <c r="D131">
        <v>28</v>
      </c>
      <c r="E131">
        <v>290</v>
      </c>
      <c r="F131">
        <v>305</v>
      </c>
      <c r="G131" t="s">
        <v>233</v>
      </c>
    </row>
    <row r="132" spans="1:7" x14ac:dyDescent="0.35">
      <c r="A132" t="s">
        <v>234</v>
      </c>
      <c r="B132" t="s">
        <v>76</v>
      </c>
      <c r="C132">
        <v>22</v>
      </c>
      <c r="D132">
        <v>26</v>
      </c>
      <c r="E132">
        <v>270</v>
      </c>
      <c r="F132">
        <v>285</v>
      </c>
      <c r="G132" t="s">
        <v>233</v>
      </c>
    </row>
    <row r="133" spans="1:7" x14ac:dyDescent="0.35">
      <c r="A133" t="s">
        <v>235</v>
      </c>
      <c r="B133" t="s">
        <v>76</v>
      </c>
      <c r="C133">
        <v>24</v>
      </c>
      <c r="D133">
        <v>28</v>
      </c>
      <c r="E133">
        <v>290</v>
      </c>
      <c r="F133">
        <v>305</v>
      </c>
      <c r="G133" t="s">
        <v>233</v>
      </c>
    </row>
    <row r="134" spans="1:7" x14ac:dyDescent="0.35">
      <c r="A134" t="s">
        <v>236</v>
      </c>
      <c r="B134" t="s">
        <v>76</v>
      </c>
      <c r="C134">
        <v>22</v>
      </c>
      <c r="D134">
        <v>26</v>
      </c>
      <c r="E134">
        <v>270</v>
      </c>
      <c r="F134">
        <v>285</v>
      </c>
      <c r="G134" t="s">
        <v>237</v>
      </c>
    </row>
    <row r="135" spans="1:7" x14ac:dyDescent="0.35">
      <c r="A135" t="s">
        <v>238</v>
      </c>
      <c r="B135" t="s">
        <v>76</v>
      </c>
      <c r="C135">
        <v>24</v>
      </c>
      <c r="D135">
        <v>28</v>
      </c>
      <c r="E135">
        <v>290</v>
      </c>
      <c r="F135">
        <v>305</v>
      </c>
      <c r="G135" t="s">
        <v>239</v>
      </c>
    </row>
    <row r="136" spans="1:7" x14ac:dyDescent="0.35">
      <c r="A136" t="s">
        <v>240</v>
      </c>
      <c r="B136" t="s">
        <v>83</v>
      </c>
      <c r="C136">
        <v>20</v>
      </c>
      <c r="D136">
        <v>24</v>
      </c>
      <c r="E136">
        <v>260</v>
      </c>
      <c r="F136">
        <v>280</v>
      </c>
      <c r="G136" t="s">
        <v>241</v>
      </c>
    </row>
    <row r="137" spans="1:7" x14ac:dyDescent="0.35">
      <c r="A137" t="s">
        <v>242</v>
      </c>
      <c r="B137" t="s">
        <v>83</v>
      </c>
      <c r="C137">
        <v>22</v>
      </c>
      <c r="D137">
        <v>26</v>
      </c>
      <c r="E137">
        <v>270</v>
      </c>
      <c r="F137">
        <v>290</v>
      </c>
      <c r="G137" t="s">
        <v>243</v>
      </c>
    </row>
    <row r="138" spans="1:7" x14ac:dyDescent="0.35">
      <c r="A138" t="s">
        <v>244</v>
      </c>
      <c r="B138" t="s">
        <v>83</v>
      </c>
      <c r="C138">
        <v>22</v>
      </c>
      <c r="D138">
        <v>26</v>
      </c>
      <c r="E138">
        <v>280</v>
      </c>
      <c r="F138">
        <v>300</v>
      </c>
      <c r="G138" t="s">
        <v>245</v>
      </c>
    </row>
    <row r="139" spans="1:7" x14ac:dyDescent="0.35">
      <c r="A139" t="s">
        <v>246</v>
      </c>
      <c r="B139" t="s">
        <v>83</v>
      </c>
      <c r="C139">
        <v>22</v>
      </c>
      <c r="D139">
        <v>26</v>
      </c>
      <c r="E139">
        <v>285</v>
      </c>
      <c r="F139">
        <v>305</v>
      </c>
      <c r="G139" t="s">
        <v>245</v>
      </c>
    </row>
    <row r="140" spans="1:7" x14ac:dyDescent="0.35">
      <c r="A140" t="s">
        <v>247</v>
      </c>
      <c r="B140" t="s">
        <v>83</v>
      </c>
      <c r="C140">
        <v>20</v>
      </c>
      <c r="D140">
        <v>24</v>
      </c>
      <c r="E140">
        <v>260</v>
      </c>
      <c r="F140">
        <v>280</v>
      </c>
      <c r="G140" t="s">
        <v>241</v>
      </c>
    </row>
    <row r="141" spans="1:7" x14ac:dyDescent="0.35">
      <c r="A141" t="s">
        <v>248</v>
      </c>
      <c r="B141" t="s">
        <v>83</v>
      </c>
      <c r="C141">
        <v>22</v>
      </c>
      <c r="D141">
        <v>26</v>
      </c>
      <c r="E141">
        <v>280</v>
      </c>
      <c r="F141">
        <v>300</v>
      </c>
      <c r="G141" t="s">
        <v>245</v>
      </c>
    </row>
    <row r="142" spans="1:7" x14ac:dyDescent="0.35">
      <c r="A142" t="s">
        <v>249</v>
      </c>
      <c r="B142" t="s">
        <v>83</v>
      </c>
      <c r="C142">
        <v>20</v>
      </c>
      <c r="D142">
        <v>24</v>
      </c>
      <c r="E142">
        <v>260</v>
      </c>
      <c r="F142">
        <v>280</v>
      </c>
      <c r="G142" t="s">
        <v>241</v>
      </c>
    </row>
    <row r="143" spans="1:7" x14ac:dyDescent="0.35">
      <c r="A143" t="s">
        <v>250</v>
      </c>
      <c r="B143" t="s">
        <v>83</v>
      </c>
      <c r="C143">
        <v>22</v>
      </c>
      <c r="D143">
        <v>26</v>
      </c>
      <c r="E143">
        <v>280</v>
      </c>
      <c r="F143">
        <v>300</v>
      </c>
      <c r="G143" t="s">
        <v>245</v>
      </c>
    </row>
    <row r="144" spans="1:7" x14ac:dyDescent="0.35">
      <c r="A144" t="s">
        <v>251</v>
      </c>
      <c r="B144" t="s">
        <v>83</v>
      </c>
      <c r="C144">
        <v>22</v>
      </c>
      <c r="D144">
        <v>26</v>
      </c>
      <c r="E144">
        <v>280</v>
      </c>
      <c r="F144">
        <v>300</v>
      </c>
      <c r="G144" t="s">
        <v>245</v>
      </c>
    </row>
    <row r="145" spans="1:7" x14ac:dyDescent="0.35">
      <c r="A145" t="s">
        <v>252</v>
      </c>
      <c r="B145" t="s">
        <v>83</v>
      </c>
      <c r="C145">
        <v>20</v>
      </c>
      <c r="D145">
        <v>24</v>
      </c>
      <c r="E145">
        <v>260</v>
      </c>
      <c r="F145">
        <v>280</v>
      </c>
      <c r="G145" t="s">
        <v>253</v>
      </c>
    </row>
    <row r="146" spans="1:7" x14ac:dyDescent="0.35">
      <c r="A146" t="s">
        <v>254</v>
      </c>
      <c r="B146" t="s">
        <v>83</v>
      </c>
      <c r="C146">
        <v>18</v>
      </c>
      <c r="D146">
        <v>20</v>
      </c>
      <c r="E146">
        <v>235</v>
      </c>
      <c r="F146">
        <v>245</v>
      </c>
      <c r="G146" t="s">
        <v>255</v>
      </c>
    </row>
    <row r="147" spans="1:7" x14ac:dyDescent="0.35">
      <c r="A147" t="s">
        <v>256</v>
      </c>
      <c r="B147" t="s">
        <v>83</v>
      </c>
      <c r="C147">
        <v>18</v>
      </c>
      <c r="D147">
        <v>20</v>
      </c>
      <c r="E147">
        <v>235</v>
      </c>
      <c r="F147">
        <v>245</v>
      </c>
      <c r="G147" t="s">
        <v>255</v>
      </c>
    </row>
    <row r="148" spans="1:7" x14ac:dyDescent="0.35">
      <c r="A148" t="s">
        <v>257</v>
      </c>
      <c r="B148" t="s">
        <v>83</v>
      </c>
      <c r="C148">
        <v>18</v>
      </c>
      <c r="D148">
        <v>20</v>
      </c>
      <c r="E148">
        <v>235</v>
      </c>
      <c r="F148">
        <v>245</v>
      </c>
      <c r="G148" t="s">
        <v>255</v>
      </c>
    </row>
    <row r="149" spans="1:7" x14ac:dyDescent="0.35">
      <c r="A149" t="s">
        <v>258</v>
      </c>
      <c r="B149" t="s">
        <v>83</v>
      </c>
      <c r="C149">
        <v>20</v>
      </c>
      <c r="D149">
        <v>24</v>
      </c>
      <c r="E149">
        <v>245</v>
      </c>
      <c r="F149">
        <v>255</v>
      </c>
      <c r="G149" t="s">
        <v>259</v>
      </c>
    </row>
    <row r="150" spans="1:7" x14ac:dyDescent="0.35">
      <c r="A150" t="s">
        <v>260</v>
      </c>
      <c r="B150" t="s">
        <v>52</v>
      </c>
      <c r="C150">
        <v>18</v>
      </c>
      <c r="D150">
        <v>22</v>
      </c>
      <c r="E150">
        <v>240</v>
      </c>
      <c r="F150">
        <v>260</v>
      </c>
      <c r="G150" t="s">
        <v>261</v>
      </c>
    </row>
    <row r="151" spans="1:7" x14ac:dyDescent="0.35">
      <c r="A151" t="s">
        <v>262</v>
      </c>
      <c r="B151" t="s">
        <v>52</v>
      </c>
      <c r="C151">
        <v>22</v>
      </c>
      <c r="D151">
        <v>28</v>
      </c>
      <c r="E151">
        <v>280</v>
      </c>
      <c r="F151">
        <v>300</v>
      </c>
      <c r="G151" t="s">
        <v>54</v>
      </c>
    </row>
    <row r="152" spans="1:7" x14ac:dyDescent="0.35">
      <c r="A152" t="s">
        <v>263</v>
      </c>
      <c r="B152" t="s">
        <v>52</v>
      </c>
      <c r="C152">
        <v>22</v>
      </c>
      <c r="D152">
        <v>28</v>
      </c>
      <c r="E152">
        <v>285</v>
      </c>
      <c r="F152">
        <v>305</v>
      </c>
      <c r="G152" t="s">
        <v>264</v>
      </c>
    </row>
    <row r="153" spans="1:7" x14ac:dyDescent="0.35">
      <c r="A153" t="s">
        <v>265</v>
      </c>
      <c r="B153" t="s">
        <v>52</v>
      </c>
      <c r="C153">
        <v>22</v>
      </c>
      <c r="D153">
        <v>28</v>
      </c>
      <c r="E153">
        <v>290</v>
      </c>
      <c r="F153">
        <v>310</v>
      </c>
      <c r="G153" t="s">
        <v>266</v>
      </c>
    </row>
    <row r="154" spans="1:7" x14ac:dyDescent="0.35">
      <c r="A154" t="s">
        <v>267</v>
      </c>
      <c r="B154" t="s">
        <v>52</v>
      </c>
      <c r="C154">
        <v>24</v>
      </c>
      <c r="D154">
        <v>30</v>
      </c>
      <c r="E154">
        <v>300</v>
      </c>
      <c r="F154">
        <v>320</v>
      </c>
      <c r="G154" t="s">
        <v>266</v>
      </c>
    </row>
    <row r="155" spans="1:7" x14ac:dyDescent="0.35">
      <c r="A155" t="s">
        <v>268</v>
      </c>
      <c r="B155" t="s">
        <v>52</v>
      </c>
      <c r="C155">
        <v>20</v>
      </c>
      <c r="D155">
        <v>24</v>
      </c>
      <c r="E155">
        <v>260</v>
      </c>
      <c r="F155">
        <v>280</v>
      </c>
      <c r="G155" t="s">
        <v>269</v>
      </c>
    </row>
    <row r="156" spans="1:7" x14ac:dyDescent="0.35">
      <c r="A156" t="s">
        <v>270</v>
      </c>
      <c r="B156" t="s">
        <v>52</v>
      </c>
      <c r="C156">
        <v>18</v>
      </c>
      <c r="D156">
        <v>22</v>
      </c>
      <c r="E156">
        <v>240</v>
      </c>
      <c r="F156">
        <v>260</v>
      </c>
      <c r="G156" t="s">
        <v>271</v>
      </c>
    </row>
    <row r="157" spans="1:7" x14ac:dyDescent="0.35">
      <c r="A157" t="s">
        <v>272</v>
      </c>
      <c r="B157" t="s">
        <v>52</v>
      </c>
      <c r="C157">
        <v>22</v>
      </c>
      <c r="D157">
        <v>26</v>
      </c>
      <c r="E157">
        <v>280</v>
      </c>
      <c r="F157">
        <v>300</v>
      </c>
      <c r="G157" t="s">
        <v>273</v>
      </c>
    </row>
    <row r="158" spans="1:7" x14ac:dyDescent="0.35">
      <c r="A158" t="s">
        <v>274</v>
      </c>
      <c r="B158" t="s">
        <v>52</v>
      </c>
      <c r="C158">
        <v>22</v>
      </c>
      <c r="D158">
        <v>26</v>
      </c>
      <c r="E158">
        <v>280</v>
      </c>
      <c r="F158">
        <v>300</v>
      </c>
      <c r="G158" t="s">
        <v>273</v>
      </c>
    </row>
    <row r="159" spans="1:7" x14ac:dyDescent="0.35">
      <c r="A159" t="s">
        <v>275</v>
      </c>
      <c r="B159" t="s">
        <v>52</v>
      </c>
      <c r="C159">
        <v>18</v>
      </c>
      <c r="D159">
        <v>21</v>
      </c>
      <c r="E159">
        <v>245</v>
      </c>
      <c r="F159">
        <v>255</v>
      </c>
      <c r="G159" t="s">
        <v>276</v>
      </c>
    </row>
    <row r="160" spans="1:7" x14ac:dyDescent="0.35">
      <c r="A160" t="s">
        <v>277</v>
      </c>
      <c r="B160" t="s">
        <v>52</v>
      </c>
      <c r="C160">
        <v>18</v>
      </c>
      <c r="D160">
        <v>21</v>
      </c>
      <c r="E160">
        <v>245</v>
      </c>
      <c r="F160">
        <v>255</v>
      </c>
      <c r="G160" t="s">
        <v>276</v>
      </c>
    </row>
    <row r="161" spans="1:7" x14ac:dyDescent="0.35">
      <c r="A161" t="s">
        <v>278</v>
      </c>
      <c r="B161" t="s">
        <v>52</v>
      </c>
      <c r="C161">
        <v>18</v>
      </c>
      <c r="D161">
        <v>21</v>
      </c>
      <c r="E161">
        <v>245</v>
      </c>
      <c r="F161">
        <v>255</v>
      </c>
      <c r="G161" t="s">
        <v>276</v>
      </c>
    </row>
    <row r="162" spans="1:7" x14ac:dyDescent="0.35">
      <c r="A162" t="s">
        <v>279</v>
      </c>
      <c r="B162" t="s">
        <v>52</v>
      </c>
      <c r="C162">
        <v>18</v>
      </c>
      <c r="D162">
        <v>21</v>
      </c>
      <c r="E162">
        <v>245</v>
      </c>
      <c r="F162">
        <v>255</v>
      </c>
      <c r="G162" t="s">
        <v>276</v>
      </c>
    </row>
    <row r="163" spans="1:7" x14ac:dyDescent="0.35">
      <c r="A163" t="s">
        <v>280</v>
      </c>
      <c r="B163" t="s">
        <v>100</v>
      </c>
      <c r="C163">
        <v>18</v>
      </c>
      <c r="D163">
        <v>24</v>
      </c>
      <c r="E163">
        <v>220</v>
      </c>
      <c r="F163">
        <v>230</v>
      </c>
      <c r="G163" t="s">
        <v>281</v>
      </c>
    </row>
    <row r="164" spans="1:7" x14ac:dyDescent="0.35">
      <c r="A164" t="s">
        <v>282</v>
      </c>
      <c r="B164" t="s">
        <v>100</v>
      </c>
      <c r="C164">
        <v>22</v>
      </c>
      <c r="D164">
        <v>28</v>
      </c>
      <c r="E164">
        <v>235</v>
      </c>
      <c r="F164">
        <v>245</v>
      </c>
      <c r="G164" t="s">
        <v>283</v>
      </c>
    </row>
    <row r="165" spans="1:7" x14ac:dyDescent="0.35">
      <c r="A165" t="s">
        <v>284</v>
      </c>
      <c r="B165" t="s">
        <v>100</v>
      </c>
      <c r="C165">
        <v>19</v>
      </c>
      <c r="D165">
        <v>23</v>
      </c>
      <c r="E165">
        <v>235</v>
      </c>
      <c r="F165">
        <v>245</v>
      </c>
      <c r="G165" t="s">
        <v>285</v>
      </c>
    </row>
    <row r="166" spans="1:7" x14ac:dyDescent="0.35">
      <c r="A166" t="s">
        <v>286</v>
      </c>
      <c r="B166" t="s">
        <v>100</v>
      </c>
      <c r="C166">
        <v>20</v>
      </c>
      <c r="D166">
        <v>24</v>
      </c>
      <c r="E166">
        <v>250</v>
      </c>
      <c r="F166">
        <v>260</v>
      </c>
      <c r="G166" t="s">
        <v>287</v>
      </c>
    </row>
    <row r="167" spans="1:7" x14ac:dyDescent="0.35">
      <c r="A167" t="s">
        <v>288</v>
      </c>
      <c r="B167" t="s">
        <v>100</v>
      </c>
      <c r="C167">
        <v>18</v>
      </c>
      <c r="D167">
        <v>22</v>
      </c>
      <c r="E167">
        <v>215</v>
      </c>
      <c r="F167">
        <v>225</v>
      </c>
      <c r="G167" t="s">
        <v>289</v>
      </c>
    </row>
    <row r="168" spans="1:7" x14ac:dyDescent="0.35">
      <c r="A168" t="s">
        <v>290</v>
      </c>
      <c r="B168" t="s">
        <v>100</v>
      </c>
      <c r="C168">
        <v>18</v>
      </c>
      <c r="D168">
        <v>22</v>
      </c>
      <c r="E168">
        <v>220</v>
      </c>
      <c r="F168">
        <v>230</v>
      </c>
      <c r="G168" t="s">
        <v>291</v>
      </c>
    </row>
    <row r="169" spans="1:7" x14ac:dyDescent="0.35">
      <c r="A169" t="s">
        <v>292</v>
      </c>
      <c r="B169" t="s">
        <v>100</v>
      </c>
      <c r="C169">
        <v>18</v>
      </c>
      <c r="D169">
        <v>22</v>
      </c>
      <c r="E169">
        <v>215</v>
      </c>
      <c r="F169">
        <v>225</v>
      </c>
      <c r="G169" t="s">
        <v>289</v>
      </c>
    </row>
    <row r="170" spans="1:7" x14ac:dyDescent="0.35">
      <c r="A170" t="s">
        <v>293</v>
      </c>
      <c r="B170" t="s">
        <v>100</v>
      </c>
      <c r="C170">
        <v>18</v>
      </c>
      <c r="D170">
        <v>22</v>
      </c>
      <c r="E170">
        <v>215</v>
      </c>
      <c r="F170">
        <v>225</v>
      </c>
      <c r="G170" t="s">
        <v>289</v>
      </c>
    </row>
    <row r="171" spans="1:7" x14ac:dyDescent="0.35">
      <c r="A171" t="s">
        <v>294</v>
      </c>
      <c r="B171" t="s">
        <v>100</v>
      </c>
      <c r="C171">
        <v>17</v>
      </c>
      <c r="D171">
        <v>21</v>
      </c>
      <c r="E171">
        <v>210</v>
      </c>
      <c r="F171">
        <v>220</v>
      </c>
      <c r="G171" t="s">
        <v>295</v>
      </c>
    </row>
    <row r="172" spans="1:7" x14ac:dyDescent="0.35">
      <c r="A172" t="s">
        <v>296</v>
      </c>
      <c r="B172" t="s">
        <v>100</v>
      </c>
      <c r="C172">
        <v>17</v>
      </c>
      <c r="D172">
        <v>20</v>
      </c>
      <c r="E172">
        <v>215</v>
      </c>
      <c r="F172">
        <v>225</v>
      </c>
      <c r="G172" t="s">
        <v>297</v>
      </c>
    </row>
    <row r="173" spans="1:7" x14ac:dyDescent="0.35">
      <c r="A173" t="s">
        <v>298</v>
      </c>
      <c r="B173" t="s">
        <v>100</v>
      </c>
      <c r="C173">
        <v>17</v>
      </c>
      <c r="D173">
        <v>20</v>
      </c>
      <c r="E173">
        <v>215</v>
      </c>
      <c r="F173">
        <v>225</v>
      </c>
      <c r="G173" t="s">
        <v>299</v>
      </c>
    </row>
    <row r="174" spans="1:7" x14ac:dyDescent="0.35">
      <c r="A174" t="s">
        <v>300</v>
      </c>
      <c r="B174" t="s">
        <v>100</v>
      </c>
      <c r="C174">
        <v>24</v>
      </c>
      <c r="D174">
        <v>28</v>
      </c>
      <c r="E174">
        <v>270</v>
      </c>
      <c r="F174">
        <v>285</v>
      </c>
      <c r="G174" t="s">
        <v>301</v>
      </c>
    </row>
    <row r="175" spans="1:7" x14ac:dyDescent="0.35">
      <c r="A175" t="s">
        <v>302</v>
      </c>
      <c r="B175" t="s">
        <v>100</v>
      </c>
      <c r="C175">
        <v>24</v>
      </c>
      <c r="D175">
        <v>28</v>
      </c>
      <c r="E175">
        <v>270</v>
      </c>
      <c r="F175">
        <v>285</v>
      </c>
      <c r="G175" t="s">
        <v>303</v>
      </c>
    </row>
    <row r="176" spans="1:7" x14ac:dyDescent="0.35">
      <c r="A176" t="s">
        <v>304</v>
      </c>
      <c r="B176" t="s">
        <v>100</v>
      </c>
      <c r="C176">
        <v>18</v>
      </c>
      <c r="D176">
        <v>22</v>
      </c>
      <c r="E176">
        <v>235</v>
      </c>
      <c r="F176">
        <v>245</v>
      </c>
      <c r="G176" t="s">
        <v>202</v>
      </c>
    </row>
    <row r="177" spans="1:7" x14ac:dyDescent="0.35">
      <c r="A177" t="s">
        <v>305</v>
      </c>
      <c r="B177" t="s">
        <v>100</v>
      </c>
      <c r="C177">
        <v>20</v>
      </c>
      <c r="D177">
        <v>24</v>
      </c>
      <c r="E177">
        <v>250</v>
      </c>
      <c r="F177">
        <v>260</v>
      </c>
      <c r="G177" t="s">
        <v>306</v>
      </c>
    </row>
    <row r="178" spans="1:7" x14ac:dyDescent="0.35">
      <c r="A178" t="s">
        <v>307</v>
      </c>
      <c r="B178" t="s">
        <v>100</v>
      </c>
      <c r="C178">
        <v>20</v>
      </c>
      <c r="D178">
        <v>24</v>
      </c>
      <c r="E178">
        <v>250</v>
      </c>
      <c r="F178">
        <v>260</v>
      </c>
      <c r="G178" t="s">
        <v>308</v>
      </c>
    </row>
    <row r="179" spans="1:7" x14ac:dyDescent="0.35">
      <c r="A179" t="s">
        <v>309</v>
      </c>
      <c r="B179" t="s">
        <v>100</v>
      </c>
      <c r="C179">
        <v>22</v>
      </c>
      <c r="D179">
        <v>26</v>
      </c>
      <c r="E179">
        <v>270</v>
      </c>
      <c r="F179">
        <v>285</v>
      </c>
      <c r="G179" t="s">
        <v>310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
  <sheetViews>
    <sheetView workbookViewId="0">
      <selection activeCell="E2" sqref="E2"/>
    </sheetView>
  </sheetViews>
  <sheetFormatPr defaultRowHeight="14.5" x14ac:dyDescent="0.35"/>
  <cols>
    <col min="1" max="1" width="20" customWidth="1"/>
    <col min="2" max="4" width="10" customWidth="1"/>
    <col min="5" max="5" width="32" customWidth="1"/>
  </cols>
  <sheetData>
    <row r="1" spans="1:5" x14ac:dyDescent="0.35">
      <c r="A1" s="13" t="s">
        <v>21</v>
      </c>
      <c r="B1" s="13" t="s">
        <v>311</v>
      </c>
      <c r="C1" s="13" t="s">
        <v>312</v>
      </c>
      <c r="D1" s="13" t="s">
        <v>313</v>
      </c>
      <c r="E1" s="13" t="s">
        <v>314</v>
      </c>
    </row>
    <row r="2" spans="1:5" x14ac:dyDescent="0.35">
      <c r="A2" t="s">
        <v>315</v>
      </c>
      <c r="B2">
        <v>18</v>
      </c>
      <c r="C2">
        <v>28</v>
      </c>
      <c r="D2">
        <f>AVERAGE(B2:C2)</f>
        <v>23</v>
      </c>
      <c r="E2" t="s">
        <v>316</v>
      </c>
    </row>
    <row r="3" spans="1:5" x14ac:dyDescent="0.35">
      <c r="A3" t="s">
        <v>317</v>
      </c>
      <c r="B3">
        <v>16</v>
      </c>
      <c r="C3">
        <v>24</v>
      </c>
      <c r="D3">
        <f>AVERAGE(B3:C3)</f>
        <v>20</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election activeCell="C11" sqref="C11"/>
    </sheetView>
  </sheetViews>
  <sheetFormatPr defaultRowHeight="14.5" x14ac:dyDescent="0.35"/>
  <cols>
    <col min="1" max="1" width="28" customWidth="1"/>
    <col min="2" max="2" width="14" customWidth="1"/>
    <col min="3" max="3" width="46" customWidth="1"/>
  </cols>
  <sheetData>
    <row r="1" spans="1:3" x14ac:dyDescent="0.35">
      <c r="A1" s="13" t="s">
        <v>318</v>
      </c>
      <c r="B1" s="13" t="s">
        <v>319</v>
      </c>
      <c r="C1" s="13" t="s">
        <v>33</v>
      </c>
    </row>
    <row r="2" spans="1:3" x14ac:dyDescent="0.35">
      <c r="A2" t="s">
        <v>320</v>
      </c>
      <c r="B2">
        <v>110</v>
      </c>
      <c r="C2" t="s">
        <v>418</v>
      </c>
    </row>
    <row r="3" spans="1:3" x14ac:dyDescent="0.35">
      <c r="A3" t="s">
        <v>321</v>
      </c>
      <c r="B3">
        <v>0.95</v>
      </c>
      <c r="C3" t="s">
        <v>322</v>
      </c>
    </row>
    <row r="4" spans="1:3" x14ac:dyDescent="0.35">
      <c r="A4" t="s">
        <v>323</v>
      </c>
      <c r="B4">
        <v>1</v>
      </c>
      <c r="C4" t="s">
        <v>324</v>
      </c>
    </row>
    <row r="5" spans="1:3" x14ac:dyDescent="0.35">
      <c r="A5" t="s">
        <v>325</v>
      </c>
      <c r="B5">
        <v>1.1200000000000001</v>
      </c>
      <c r="C5" t="s">
        <v>326</v>
      </c>
    </row>
    <row r="6" spans="1:3" x14ac:dyDescent="0.35">
      <c r="A6" t="s">
        <v>327</v>
      </c>
      <c r="B6">
        <v>1.22</v>
      </c>
      <c r="C6" t="s">
        <v>328</v>
      </c>
    </row>
    <row r="7" spans="1:3" x14ac:dyDescent="0.35">
      <c r="A7" t="s">
        <v>329</v>
      </c>
      <c r="B7">
        <v>1.2</v>
      </c>
      <c r="C7" t="s">
        <v>330</v>
      </c>
    </row>
    <row r="8" spans="1:3" x14ac:dyDescent="0.35">
      <c r="A8" t="s">
        <v>331</v>
      </c>
      <c r="B8">
        <v>0.55000000000000004</v>
      </c>
      <c r="C8" t="s">
        <v>332</v>
      </c>
    </row>
    <row r="9" spans="1:3" x14ac:dyDescent="0.35">
      <c r="A9" t="s">
        <v>333</v>
      </c>
      <c r="B9">
        <v>0.6</v>
      </c>
      <c r="C9" t="s">
        <v>334</v>
      </c>
    </row>
    <row r="10" spans="1:3" x14ac:dyDescent="0.35">
      <c r="A10" t="s">
        <v>335</v>
      </c>
      <c r="B10">
        <v>0.65</v>
      </c>
      <c r="C10" t="s">
        <v>336</v>
      </c>
    </row>
    <row r="11" spans="1:3" x14ac:dyDescent="0.35">
      <c r="A11" t="s">
        <v>408</v>
      </c>
      <c r="B11">
        <v>2.2000000000000002</v>
      </c>
      <c r="C11" t="s">
        <v>409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election activeCell="C9" sqref="C9"/>
    </sheetView>
  </sheetViews>
  <sheetFormatPr defaultRowHeight="14.5" x14ac:dyDescent="0.35"/>
  <cols>
    <col min="1" max="1" width="24" customWidth="1"/>
    <col min="2" max="3" width="16" customWidth="1"/>
    <col min="4" max="4" width="30" customWidth="1"/>
  </cols>
  <sheetData>
    <row r="1" spans="1:4" x14ac:dyDescent="0.35">
      <c r="A1" s="13" t="s">
        <v>5</v>
      </c>
      <c r="B1" s="13" t="s">
        <v>337</v>
      </c>
      <c r="C1" s="13" t="s">
        <v>338</v>
      </c>
      <c r="D1" s="13" t="s">
        <v>33</v>
      </c>
    </row>
    <row r="2" spans="1:4" x14ac:dyDescent="0.35">
      <c r="A2" t="s">
        <v>10</v>
      </c>
      <c r="B2">
        <v>700</v>
      </c>
      <c r="C2">
        <v>100</v>
      </c>
      <c r="D2" t="s">
        <v>339</v>
      </c>
    </row>
    <row r="3" spans="1:4" x14ac:dyDescent="0.35">
      <c r="A3" t="s">
        <v>15</v>
      </c>
      <c r="B3">
        <v>400</v>
      </c>
      <c r="C3">
        <v>120</v>
      </c>
      <c r="D3" t="s">
        <v>339</v>
      </c>
    </row>
    <row r="4" spans="1:4" x14ac:dyDescent="0.35">
      <c r="A4" t="s">
        <v>19</v>
      </c>
      <c r="B4">
        <v>250</v>
      </c>
      <c r="C4">
        <v>40</v>
      </c>
      <c r="D4" t="s">
        <v>340</v>
      </c>
    </row>
    <row r="5" spans="1:4" x14ac:dyDescent="0.35">
      <c r="A5" t="s">
        <v>23</v>
      </c>
      <c r="B5">
        <v>300</v>
      </c>
      <c r="C5">
        <v>75</v>
      </c>
      <c r="D5" t="s">
        <v>341</v>
      </c>
    </row>
    <row r="6" spans="1:4" x14ac:dyDescent="0.35">
      <c r="A6" t="s">
        <v>27</v>
      </c>
      <c r="B6">
        <v>300</v>
      </c>
      <c r="C6">
        <v>0</v>
      </c>
      <c r="D6" t="s">
        <v>342</v>
      </c>
    </row>
    <row r="7" spans="1:4" x14ac:dyDescent="0.35">
      <c r="A7" t="s">
        <v>31</v>
      </c>
      <c r="B7">
        <v>600</v>
      </c>
      <c r="C7">
        <v>0</v>
      </c>
      <c r="D7" t="s">
        <v>343</v>
      </c>
    </row>
    <row r="8" spans="1:4" x14ac:dyDescent="0.35">
      <c r="A8" t="s">
        <v>35</v>
      </c>
      <c r="B8">
        <v>1200</v>
      </c>
      <c r="C8">
        <v>0</v>
      </c>
      <c r="D8" t="s">
        <v>344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
  <sheetViews>
    <sheetView showGridLines="0" workbookViewId="0">
      <selection sqref="A1:H1"/>
    </sheetView>
  </sheetViews>
  <sheetFormatPr defaultRowHeight="14.5" x14ac:dyDescent="0.35"/>
  <cols>
    <col min="1" max="8" width="18" customWidth="1"/>
  </cols>
  <sheetData>
    <row r="1" spans="1:8" ht="24" customHeight="1" x14ac:dyDescent="0.35">
      <c r="A1" s="34" t="s">
        <v>345</v>
      </c>
      <c r="B1" s="26"/>
      <c r="C1" s="26"/>
      <c r="D1" s="26"/>
      <c r="E1" s="26"/>
      <c r="F1" s="26"/>
      <c r="G1" s="26"/>
      <c r="H1" s="26"/>
    </row>
    <row r="2" spans="1:8" ht="24" customHeight="1" x14ac:dyDescent="0.35">
      <c r="A2" s="25" t="s">
        <v>346</v>
      </c>
      <c r="B2" s="26"/>
      <c r="C2" s="26"/>
      <c r="D2" s="26"/>
      <c r="E2" s="26"/>
      <c r="F2" s="26"/>
      <c r="G2" s="26"/>
      <c r="H2" s="26"/>
    </row>
    <row r="3" spans="1:8" ht="24" customHeight="1" x14ac:dyDescent="0.35"/>
    <row r="4" spans="1:8" ht="24" customHeight="1" x14ac:dyDescent="0.35">
      <c r="A4" s="24" t="s">
        <v>347</v>
      </c>
      <c r="B4" s="22"/>
      <c r="C4" s="22"/>
      <c r="D4" s="23"/>
      <c r="E4" s="24" t="s">
        <v>348</v>
      </c>
      <c r="F4" s="22"/>
      <c r="G4" s="22"/>
      <c r="H4" s="23"/>
    </row>
    <row r="5" spans="1:8" ht="24" customHeight="1" x14ac:dyDescent="0.35">
      <c r="A5" s="2" t="s">
        <v>349</v>
      </c>
      <c r="B5" s="14">
        <f>'Front Desk'!B5</f>
        <v>0</v>
      </c>
      <c r="E5" s="2" t="s">
        <v>17</v>
      </c>
      <c r="F5" s="14" t="str">
        <f>'Front Desk'!B8</f>
        <v>Enter Vehicle</v>
      </c>
    </row>
    <row r="6" spans="1:8" ht="24" customHeight="1" x14ac:dyDescent="0.35">
      <c r="A6" s="2" t="s">
        <v>8</v>
      </c>
      <c r="B6" s="14">
        <f>'Front Desk'!B6</f>
        <v>0</v>
      </c>
      <c r="E6" s="2" t="s">
        <v>21</v>
      </c>
      <c r="F6" s="14" t="str">
        <f>'Front Desk'!B9</f>
        <v>Color Change</v>
      </c>
    </row>
    <row r="7" spans="1:8" ht="24" customHeight="1" x14ac:dyDescent="0.35">
      <c r="A7" s="2" t="s">
        <v>13</v>
      </c>
      <c r="B7" s="14">
        <f>'Front Desk'!B7</f>
        <v>0</v>
      </c>
      <c r="E7" s="2" t="s">
        <v>350</v>
      </c>
      <c r="F7" s="14" t="str">
        <f>'Front Desk'!B11</f>
        <v>Matte</v>
      </c>
    </row>
    <row r="8" spans="1:8" ht="24" customHeight="1" x14ac:dyDescent="0.35"/>
    <row r="9" spans="1:8" ht="24" customHeight="1" x14ac:dyDescent="0.35">
      <c r="A9" s="24" t="s">
        <v>351</v>
      </c>
      <c r="B9" s="22"/>
      <c r="C9" s="22"/>
      <c r="D9" s="22"/>
      <c r="E9" s="22"/>
      <c r="F9" s="22"/>
      <c r="G9" s="22"/>
      <c r="H9" s="23"/>
    </row>
    <row r="10" spans="1:8" ht="24" customHeight="1" x14ac:dyDescent="0.35">
      <c r="A10" s="2" t="s">
        <v>352</v>
      </c>
      <c r="B10" s="8">
        <f>'Front Desk'!G8</f>
        <v>0</v>
      </c>
      <c r="D10" s="24" t="s">
        <v>353</v>
      </c>
      <c r="E10" s="22"/>
      <c r="F10" s="22"/>
      <c r="G10" s="22"/>
      <c r="H10" s="23"/>
    </row>
    <row r="11" spans="1:8" ht="24" customHeight="1" x14ac:dyDescent="0.35">
      <c r="A11" s="2" t="s">
        <v>354</v>
      </c>
      <c r="B11" s="8">
        <f>'Front Desk'!G10</f>
        <v>0</v>
      </c>
      <c r="D11" s="33" t="str">
        <f>IF('Front Desk'!J6="Yes",'Front Desk'!I6,"")</f>
        <v/>
      </c>
      <c r="E11" s="22"/>
      <c r="F11" s="22"/>
      <c r="G11" s="22"/>
      <c r="H11" s="23"/>
    </row>
    <row r="12" spans="1:8" ht="24" customHeight="1" x14ac:dyDescent="0.35">
      <c r="A12" s="2" t="s">
        <v>355</v>
      </c>
      <c r="B12" s="8">
        <f>'Front Desk'!Q12</f>
        <v>0</v>
      </c>
      <c r="D12" s="33" t="str">
        <f>IF('Front Desk'!J7="Yes",'Front Desk'!I7,"")</f>
        <v>Window Tint</v>
      </c>
      <c r="E12" s="22"/>
      <c r="F12" s="22"/>
      <c r="G12" s="22"/>
      <c r="H12" s="23"/>
    </row>
    <row r="13" spans="1:8" ht="24" customHeight="1" x14ac:dyDescent="0.35">
      <c r="A13" s="2" t="s">
        <v>356</v>
      </c>
      <c r="B13" s="10">
        <f>'Front Desk'!G13</f>
        <v>400</v>
      </c>
      <c r="D13" s="33" t="str">
        <f>IF('Front Desk'!J8="Yes",'Front Desk'!I8,"")</f>
        <v/>
      </c>
      <c r="E13" s="22"/>
      <c r="F13" s="22"/>
      <c r="G13" s="22"/>
      <c r="H13" s="23"/>
    </row>
    <row r="14" spans="1:8" ht="24" customHeight="1" x14ac:dyDescent="0.35">
      <c r="A14" s="2" t="s">
        <v>357</v>
      </c>
      <c r="B14" s="12">
        <f>'Front Desk'!G15</f>
        <v>400</v>
      </c>
      <c r="D14" s="33" t="str">
        <f>IF('Front Desk'!J9="Yes",'Front Desk'!I9,"")</f>
        <v/>
      </c>
      <c r="E14" s="22"/>
      <c r="F14" s="22"/>
      <c r="G14" s="22"/>
      <c r="H14" s="23"/>
    </row>
    <row r="15" spans="1:8" ht="24" customHeight="1" x14ac:dyDescent="0.35">
      <c r="A15" t="s">
        <v>358</v>
      </c>
      <c r="B15">
        <f>'Front Desk'!G17</f>
        <v>280</v>
      </c>
      <c r="D15" s="33" t="str">
        <f>IF('Front Desk'!J10="Yes",'Front Desk'!I10,"")</f>
        <v/>
      </c>
      <c r="E15" s="22"/>
      <c r="F15" s="22"/>
      <c r="G15" s="22"/>
      <c r="H15" s="23"/>
    </row>
    <row r="16" spans="1:8" ht="24" customHeight="1" x14ac:dyDescent="0.35">
      <c r="D16" s="33" t="str">
        <f>IF('Front Desk'!J11="Yes",'Front Desk'!I11,"")</f>
        <v/>
      </c>
      <c r="E16" s="22"/>
      <c r="F16" s="22"/>
      <c r="G16" s="22"/>
      <c r="H16" s="23"/>
    </row>
    <row r="17" spans="1:8" ht="24" customHeight="1" x14ac:dyDescent="0.35">
      <c r="D17" s="33" t="str">
        <f>IF('Front Desk'!J12="Yes",'Front Desk'!I12,"")</f>
        <v/>
      </c>
      <c r="E17" s="22"/>
      <c r="F17" s="22"/>
      <c r="G17" s="22"/>
      <c r="H17" s="23"/>
    </row>
    <row r="18" spans="1:8" ht="24" customHeight="1" x14ac:dyDescent="0.35"/>
    <row r="19" spans="1:8" ht="24" customHeight="1" x14ac:dyDescent="0.35"/>
    <row r="20" spans="1:8" ht="24" customHeight="1" x14ac:dyDescent="0.35">
      <c r="A20" s="24" t="s">
        <v>359</v>
      </c>
      <c r="B20" s="22"/>
      <c r="C20" s="22"/>
      <c r="D20" s="22"/>
      <c r="E20" s="22"/>
      <c r="F20" s="22"/>
      <c r="G20" s="22"/>
      <c r="H20" s="23"/>
    </row>
    <row r="21" spans="1:8" ht="24" customHeight="1" x14ac:dyDescent="0.35">
      <c r="A21" s="32" t="s">
        <v>360</v>
      </c>
      <c r="B21" s="26"/>
      <c r="C21" s="26"/>
      <c r="D21" s="26"/>
      <c r="E21" s="26"/>
      <c r="F21" s="26"/>
      <c r="G21" s="26"/>
      <c r="H21" s="26"/>
    </row>
    <row r="22" spans="1:8" ht="24" customHeight="1" x14ac:dyDescent="0.35">
      <c r="A22" s="26"/>
      <c r="B22" s="26"/>
      <c r="C22" s="26"/>
      <c r="D22" s="26"/>
      <c r="E22" s="26"/>
      <c r="F22" s="26"/>
      <c r="G22" s="26"/>
      <c r="H22" s="26"/>
    </row>
    <row r="23" spans="1:8" ht="24" customHeight="1" x14ac:dyDescent="0.35">
      <c r="A23" s="26"/>
      <c r="B23" s="26"/>
      <c r="C23" s="26"/>
      <c r="D23" s="26"/>
      <c r="E23" s="26"/>
      <c r="F23" s="26"/>
      <c r="G23" s="26"/>
      <c r="H23" s="26"/>
    </row>
    <row r="24" spans="1:8" ht="24" customHeight="1" x14ac:dyDescent="0.35">
      <c r="A24" s="26"/>
      <c r="B24" s="26"/>
      <c r="C24" s="26"/>
      <c r="D24" s="26"/>
      <c r="E24" s="26"/>
      <c r="F24" s="26"/>
      <c r="G24" s="26"/>
      <c r="H24" s="26"/>
    </row>
    <row r="25" spans="1:8" ht="24" customHeight="1" x14ac:dyDescent="0.35">
      <c r="A25" s="26"/>
      <c r="B25" s="26"/>
      <c r="C25" s="26"/>
      <c r="D25" s="26"/>
      <c r="E25" s="26"/>
      <c r="F25" s="26"/>
      <c r="G25" s="26"/>
      <c r="H25" s="26"/>
    </row>
    <row r="26" spans="1:8" ht="24" customHeight="1" x14ac:dyDescent="0.35"/>
    <row r="27" spans="1:8" ht="24" customHeight="1" x14ac:dyDescent="0.35">
      <c r="A27" s="24" t="s">
        <v>361</v>
      </c>
      <c r="B27" s="22"/>
      <c r="C27" s="22"/>
      <c r="D27" s="22"/>
      <c r="E27" s="22"/>
      <c r="F27" s="22"/>
      <c r="G27" s="22"/>
      <c r="H27" s="23"/>
    </row>
    <row r="28" spans="1:8" ht="24" customHeight="1" x14ac:dyDescent="0.35"/>
    <row r="29" spans="1:8" ht="24" customHeight="1" x14ac:dyDescent="0.35">
      <c r="A29" t="s">
        <v>362</v>
      </c>
      <c r="E29" t="s">
        <v>363</v>
      </c>
    </row>
    <row r="30" spans="1:8" ht="24" customHeight="1" x14ac:dyDescent="0.35"/>
    <row r="31" spans="1:8" ht="24" customHeight="1" x14ac:dyDescent="0.35">
      <c r="A31" t="s">
        <v>364</v>
      </c>
      <c r="E31" t="s">
        <v>365</v>
      </c>
    </row>
    <row r="32" spans="1:8" ht="24" customHeight="1" x14ac:dyDescent="0.35"/>
    <row r="33" ht="24" customHeight="1" x14ac:dyDescent="0.35"/>
    <row r="34" ht="24" customHeight="1" x14ac:dyDescent="0.35"/>
  </sheetData>
  <mergeCells count="16">
    <mergeCell ref="A1:H1"/>
    <mergeCell ref="A27:H27"/>
    <mergeCell ref="D17:H17"/>
    <mergeCell ref="A4:D4"/>
    <mergeCell ref="A2:H2"/>
    <mergeCell ref="E4:H4"/>
    <mergeCell ref="A20:H20"/>
    <mergeCell ref="D11:H11"/>
    <mergeCell ref="D13:H13"/>
    <mergeCell ref="D14:H14"/>
    <mergeCell ref="A9:H9"/>
    <mergeCell ref="A21:H25"/>
    <mergeCell ref="D12:H12"/>
    <mergeCell ref="D15:H15"/>
    <mergeCell ref="D16:H16"/>
    <mergeCell ref="D10:H1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1"/>
  <sheetViews>
    <sheetView workbookViewId="0">
      <pane ySplit="1" topLeftCell="A2" activePane="bottomLeft" state="frozen"/>
      <selection pane="bottomLeft" activeCell="O2" sqref="O2"/>
    </sheetView>
  </sheetViews>
  <sheetFormatPr defaultRowHeight="14.5" x14ac:dyDescent="0.35"/>
  <cols>
    <col min="1" max="1" width="10" customWidth="1"/>
    <col min="2" max="2" width="12" customWidth="1"/>
    <col min="3" max="4" width="20" customWidth="1"/>
    <col min="5" max="5" width="16" customWidth="1"/>
    <col min="6" max="6" width="14" customWidth="1"/>
    <col min="7" max="7" width="18.1796875" customWidth="1"/>
    <col min="8" max="8" width="18" customWidth="1"/>
    <col min="9" max="9" width="14.08984375" customWidth="1"/>
    <col min="10" max="10" width="16" customWidth="1"/>
    <col min="11" max="13" width="14" customWidth="1"/>
    <col min="14" max="14" width="12" customWidth="1"/>
    <col min="15" max="15" width="28.90625" customWidth="1"/>
  </cols>
  <sheetData>
    <row r="1" spans="1:15" x14ac:dyDescent="0.35">
      <c r="A1" s="15" t="s">
        <v>366</v>
      </c>
      <c r="B1" s="15" t="s">
        <v>363</v>
      </c>
      <c r="C1" s="15" t="s">
        <v>367</v>
      </c>
      <c r="D1" s="15" t="s">
        <v>17</v>
      </c>
      <c r="E1" s="15" t="s">
        <v>21</v>
      </c>
      <c r="F1" s="15" t="s">
        <v>368</v>
      </c>
      <c r="G1" s="15" t="s">
        <v>369</v>
      </c>
      <c r="H1" s="15" t="s">
        <v>370</v>
      </c>
      <c r="I1" s="15" t="s">
        <v>371</v>
      </c>
      <c r="J1" s="15" t="s">
        <v>372</v>
      </c>
      <c r="K1" s="15" t="s">
        <v>373</v>
      </c>
      <c r="L1" s="15" t="s">
        <v>374</v>
      </c>
      <c r="M1" s="15" t="s">
        <v>375</v>
      </c>
      <c r="N1" s="15" t="s">
        <v>376</v>
      </c>
      <c r="O1" s="15" t="s">
        <v>33</v>
      </c>
    </row>
    <row r="2" spans="1:15" x14ac:dyDescent="0.35">
      <c r="A2" s="7" t="s">
        <v>377</v>
      </c>
      <c r="B2" s="7"/>
      <c r="C2" s="7">
        <f>'Front Desk'!B5</f>
        <v>0</v>
      </c>
      <c r="D2" s="7" t="str">
        <f>'Front Desk'!B8</f>
        <v>Enter Vehicle</v>
      </c>
      <c r="E2" s="7" t="str">
        <f>'Front Desk'!B9</f>
        <v>Color Change</v>
      </c>
      <c r="F2" s="16">
        <f>'Front Desk'!G15</f>
        <v>400</v>
      </c>
      <c r="G2" s="16">
        <f>'Front Desk'!G16</f>
        <v>120</v>
      </c>
      <c r="H2" s="16">
        <f>'Front Desk'!G17</f>
        <v>280</v>
      </c>
      <c r="I2" s="17">
        <f>'Front Desk'!G18</f>
        <v>0.7</v>
      </c>
      <c r="J2" s="7" t="str">
        <f>'Front Desk'!G19</f>
        <v>STRONG</v>
      </c>
      <c r="K2" s="7" t="s">
        <v>378</v>
      </c>
      <c r="L2" s="16"/>
      <c r="M2" s="16"/>
      <c r="N2" s="16"/>
      <c r="O2" s="7"/>
    </row>
    <row r="3" spans="1:15" x14ac:dyDescent="0.35">
      <c r="A3" s="7" t="str">
        <f t="shared" ref="A3:A34" si="0">"J-"&amp;TEXT(ROW()-1,"000")</f>
        <v>J-002</v>
      </c>
      <c r="B3" s="7"/>
      <c r="C3" s="7"/>
      <c r="D3" s="7"/>
      <c r="E3" s="7"/>
      <c r="F3" s="16"/>
      <c r="G3" s="16"/>
      <c r="H3" s="16" t="str">
        <f t="shared" ref="H3:H34" si="1">IF(OR(L3="",M3=""),"",L3-M3)</f>
        <v/>
      </c>
      <c r="I3" s="17" t="str">
        <f t="shared" ref="I3:I34" si="2">IFERROR(N3/L3,"")</f>
        <v/>
      </c>
      <c r="J3" s="7"/>
      <c r="K3" s="7"/>
      <c r="L3" s="16"/>
      <c r="M3" s="16"/>
      <c r="N3" s="16"/>
      <c r="O3" s="7"/>
    </row>
    <row r="4" spans="1:15" x14ac:dyDescent="0.35">
      <c r="A4" s="7" t="str">
        <f t="shared" si="0"/>
        <v>J-003</v>
      </c>
      <c r="B4" s="7"/>
      <c r="C4" s="7"/>
      <c r="D4" s="7"/>
      <c r="E4" s="7"/>
      <c r="F4" s="16"/>
      <c r="G4" s="16"/>
      <c r="H4" s="16" t="str">
        <f t="shared" si="1"/>
        <v/>
      </c>
      <c r="I4" s="17" t="str">
        <f t="shared" si="2"/>
        <v/>
      </c>
      <c r="J4" s="7"/>
      <c r="K4" s="7"/>
      <c r="L4" s="16"/>
      <c r="M4" s="16"/>
      <c r="N4" s="16"/>
      <c r="O4" s="7"/>
    </row>
    <row r="5" spans="1:15" x14ac:dyDescent="0.35">
      <c r="A5" s="7" t="str">
        <f t="shared" si="0"/>
        <v>J-004</v>
      </c>
      <c r="B5" s="7"/>
      <c r="C5" s="7"/>
      <c r="D5" s="7"/>
      <c r="E5" s="7"/>
      <c r="F5" s="16"/>
      <c r="G5" s="16"/>
      <c r="H5" s="16" t="str">
        <f t="shared" si="1"/>
        <v/>
      </c>
      <c r="I5" s="17" t="str">
        <f t="shared" si="2"/>
        <v/>
      </c>
      <c r="J5" s="7"/>
      <c r="K5" s="7"/>
      <c r="L5" s="16"/>
      <c r="M5" s="16"/>
      <c r="N5" s="16"/>
      <c r="O5" s="7"/>
    </row>
    <row r="6" spans="1:15" x14ac:dyDescent="0.35">
      <c r="A6" s="7" t="str">
        <f t="shared" si="0"/>
        <v>J-005</v>
      </c>
      <c r="B6" s="7"/>
      <c r="C6" s="7"/>
      <c r="D6" s="7"/>
      <c r="E6" s="7"/>
      <c r="F6" s="16"/>
      <c r="G6" s="16"/>
      <c r="H6" s="16" t="str">
        <f t="shared" si="1"/>
        <v/>
      </c>
      <c r="I6" s="17" t="str">
        <f t="shared" si="2"/>
        <v/>
      </c>
      <c r="J6" s="7"/>
      <c r="K6" s="7"/>
      <c r="L6" s="16"/>
      <c r="M6" s="16"/>
      <c r="N6" s="16"/>
      <c r="O6" s="7"/>
    </row>
    <row r="7" spans="1:15" x14ac:dyDescent="0.35">
      <c r="A7" s="7" t="str">
        <f t="shared" si="0"/>
        <v>J-006</v>
      </c>
      <c r="B7" s="7"/>
      <c r="C7" s="7"/>
      <c r="D7" s="7"/>
      <c r="E7" s="7"/>
      <c r="F7" s="16"/>
      <c r="G7" s="16"/>
      <c r="H7" s="16" t="str">
        <f t="shared" si="1"/>
        <v/>
      </c>
      <c r="I7" s="17" t="str">
        <f t="shared" si="2"/>
        <v/>
      </c>
      <c r="J7" s="7"/>
      <c r="K7" s="7"/>
      <c r="L7" s="16"/>
      <c r="M7" s="16"/>
      <c r="N7" s="16"/>
      <c r="O7" s="7"/>
    </row>
    <row r="8" spans="1:15" x14ac:dyDescent="0.35">
      <c r="A8" s="7" t="str">
        <f t="shared" si="0"/>
        <v>J-007</v>
      </c>
      <c r="B8" s="7"/>
      <c r="C8" s="7"/>
      <c r="D8" s="7"/>
      <c r="E8" s="7"/>
      <c r="F8" s="16"/>
      <c r="G8" s="16"/>
      <c r="H8" s="16" t="str">
        <f t="shared" si="1"/>
        <v/>
      </c>
      <c r="I8" s="17" t="str">
        <f t="shared" si="2"/>
        <v/>
      </c>
      <c r="J8" s="7"/>
      <c r="K8" s="7"/>
      <c r="L8" s="16"/>
      <c r="M8" s="16"/>
      <c r="N8" s="16"/>
      <c r="O8" s="7"/>
    </row>
    <row r="9" spans="1:15" x14ac:dyDescent="0.35">
      <c r="A9" s="7" t="str">
        <f t="shared" si="0"/>
        <v>J-008</v>
      </c>
      <c r="B9" s="7"/>
      <c r="C9" s="7"/>
      <c r="D9" s="7"/>
      <c r="E9" s="7"/>
      <c r="F9" s="16"/>
      <c r="G9" s="16"/>
      <c r="H9" s="16" t="str">
        <f t="shared" si="1"/>
        <v/>
      </c>
      <c r="I9" s="17" t="str">
        <f t="shared" si="2"/>
        <v/>
      </c>
      <c r="J9" s="7"/>
      <c r="K9" s="7"/>
      <c r="L9" s="16"/>
      <c r="M9" s="16"/>
      <c r="N9" s="16"/>
      <c r="O9" s="7"/>
    </row>
    <row r="10" spans="1:15" x14ac:dyDescent="0.35">
      <c r="A10" s="7" t="str">
        <f t="shared" si="0"/>
        <v>J-009</v>
      </c>
      <c r="B10" s="7"/>
      <c r="C10" s="7"/>
      <c r="D10" s="7"/>
      <c r="E10" s="7"/>
      <c r="F10" s="16"/>
      <c r="G10" s="16"/>
      <c r="H10" s="16" t="str">
        <f t="shared" si="1"/>
        <v/>
      </c>
      <c r="I10" s="17" t="str">
        <f t="shared" si="2"/>
        <v/>
      </c>
      <c r="J10" s="7"/>
      <c r="K10" s="7"/>
      <c r="L10" s="16"/>
      <c r="M10" s="16"/>
      <c r="N10" s="16"/>
      <c r="O10" s="7"/>
    </row>
    <row r="11" spans="1:15" x14ac:dyDescent="0.35">
      <c r="A11" s="7" t="str">
        <f t="shared" si="0"/>
        <v>J-010</v>
      </c>
      <c r="B11" s="7"/>
      <c r="C11" s="7"/>
      <c r="D11" s="7"/>
      <c r="E11" s="7"/>
      <c r="F11" s="16"/>
      <c r="G11" s="16"/>
      <c r="H11" s="16" t="str">
        <f t="shared" si="1"/>
        <v/>
      </c>
      <c r="I11" s="17" t="str">
        <f t="shared" si="2"/>
        <v/>
      </c>
      <c r="J11" s="7"/>
      <c r="K11" s="7"/>
      <c r="L11" s="16"/>
      <c r="M11" s="16"/>
      <c r="N11" s="16"/>
      <c r="O11" s="7"/>
    </row>
    <row r="12" spans="1:15" x14ac:dyDescent="0.35">
      <c r="A12" s="7" t="str">
        <f t="shared" si="0"/>
        <v>J-011</v>
      </c>
      <c r="B12" s="7"/>
      <c r="C12" s="7"/>
      <c r="D12" s="7"/>
      <c r="E12" s="7"/>
      <c r="F12" s="16"/>
      <c r="G12" s="16"/>
      <c r="H12" s="16" t="str">
        <f t="shared" si="1"/>
        <v/>
      </c>
      <c r="I12" s="17" t="str">
        <f t="shared" si="2"/>
        <v/>
      </c>
      <c r="J12" s="7"/>
      <c r="K12" s="7"/>
      <c r="L12" s="16"/>
      <c r="M12" s="16"/>
      <c r="N12" s="16"/>
      <c r="O12" s="7"/>
    </row>
    <row r="13" spans="1:15" x14ac:dyDescent="0.35">
      <c r="A13" s="7" t="str">
        <f t="shared" si="0"/>
        <v>J-012</v>
      </c>
      <c r="B13" s="7"/>
      <c r="C13" s="7"/>
      <c r="D13" s="7"/>
      <c r="E13" s="7"/>
      <c r="F13" s="16"/>
      <c r="G13" s="16"/>
      <c r="H13" s="16" t="str">
        <f t="shared" si="1"/>
        <v/>
      </c>
      <c r="I13" s="17" t="str">
        <f t="shared" si="2"/>
        <v/>
      </c>
      <c r="J13" s="7"/>
      <c r="K13" s="7"/>
      <c r="L13" s="16"/>
      <c r="M13" s="16"/>
      <c r="N13" s="16"/>
      <c r="O13" s="7"/>
    </row>
    <row r="14" spans="1:15" x14ac:dyDescent="0.35">
      <c r="A14" s="7" t="str">
        <f t="shared" si="0"/>
        <v>J-013</v>
      </c>
      <c r="B14" s="7"/>
      <c r="C14" s="7"/>
      <c r="D14" s="7"/>
      <c r="E14" s="7"/>
      <c r="F14" s="16"/>
      <c r="G14" s="16"/>
      <c r="H14" s="16" t="str">
        <f t="shared" si="1"/>
        <v/>
      </c>
      <c r="I14" s="17" t="str">
        <f t="shared" si="2"/>
        <v/>
      </c>
      <c r="J14" s="7"/>
      <c r="K14" s="7"/>
      <c r="L14" s="16"/>
      <c r="M14" s="16"/>
      <c r="N14" s="16"/>
      <c r="O14" s="7"/>
    </row>
    <row r="15" spans="1:15" x14ac:dyDescent="0.35">
      <c r="A15" s="7" t="str">
        <f t="shared" si="0"/>
        <v>J-014</v>
      </c>
      <c r="B15" s="7"/>
      <c r="C15" s="7"/>
      <c r="D15" s="7"/>
      <c r="E15" s="7"/>
      <c r="F15" s="16"/>
      <c r="G15" s="16"/>
      <c r="H15" s="16" t="str">
        <f t="shared" si="1"/>
        <v/>
      </c>
      <c r="I15" s="17" t="str">
        <f t="shared" si="2"/>
        <v/>
      </c>
      <c r="J15" s="7"/>
      <c r="K15" s="7"/>
      <c r="L15" s="16"/>
      <c r="M15" s="16"/>
      <c r="N15" s="16"/>
      <c r="O15" s="7"/>
    </row>
    <row r="16" spans="1:15" x14ac:dyDescent="0.35">
      <c r="A16" s="7" t="str">
        <f t="shared" si="0"/>
        <v>J-015</v>
      </c>
      <c r="B16" s="7"/>
      <c r="C16" s="7"/>
      <c r="D16" s="7"/>
      <c r="E16" s="7"/>
      <c r="F16" s="16"/>
      <c r="G16" s="16"/>
      <c r="H16" s="16" t="str">
        <f t="shared" si="1"/>
        <v/>
      </c>
      <c r="I16" s="17" t="str">
        <f t="shared" si="2"/>
        <v/>
      </c>
      <c r="J16" s="7"/>
      <c r="K16" s="7"/>
      <c r="L16" s="16"/>
      <c r="M16" s="16"/>
      <c r="N16" s="16"/>
      <c r="O16" s="7"/>
    </row>
    <row r="17" spans="1:15" x14ac:dyDescent="0.35">
      <c r="A17" s="7" t="str">
        <f t="shared" si="0"/>
        <v>J-016</v>
      </c>
      <c r="B17" s="7"/>
      <c r="C17" s="7"/>
      <c r="D17" s="7"/>
      <c r="E17" s="7"/>
      <c r="F17" s="16"/>
      <c r="G17" s="16"/>
      <c r="H17" s="16" t="str">
        <f t="shared" si="1"/>
        <v/>
      </c>
      <c r="I17" s="17" t="str">
        <f t="shared" si="2"/>
        <v/>
      </c>
      <c r="J17" s="7"/>
      <c r="K17" s="7"/>
      <c r="L17" s="16"/>
      <c r="M17" s="16"/>
      <c r="N17" s="16"/>
      <c r="O17" s="7"/>
    </row>
    <row r="18" spans="1:15" x14ac:dyDescent="0.35">
      <c r="A18" s="7" t="str">
        <f t="shared" si="0"/>
        <v>J-017</v>
      </c>
      <c r="B18" s="7"/>
      <c r="C18" s="7"/>
      <c r="D18" s="7"/>
      <c r="E18" s="7"/>
      <c r="F18" s="16"/>
      <c r="G18" s="16"/>
      <c r="H18" s="16" t="str">
        <f t="shared" si="1"/>
        <v/>
      </c>
      <c r="I18" s="17" t="str">
        <f t="shared" si="2"/>
        <v/>
      </c>
      <c r="J18" s="7"/>
      <c r="K18" s="7"/>
      <c r="L18" s="16"/>
      <c r="M18" s="16"/>
      <c r="N18" s="16"/>
      <c r="O18" s="7"/>
    </row>
    <row r="19" spans="1:15" x14ac:dyDescent="0.35">
      <c r="A19" s="7" t="str">
        <f t="shared" si="0"/>
        <v>J-018</v>
      </c>
      <c r="B19" s="7"/>
      <c r="C19" s="7"/>
      <c r="D19" s="7"/>
      <c r="E19" s="7"/>
      <c r="F19" s="16"/>
      <c r="G19" s="16"/>
      <c r="H19" s="16" t="str">
        <f t="shared" si="1"/>
        <v/>
      </c>
      <c r="I19" s="17" t="str">
        <f t="shared" si="2"/>
        <v/>
      </c>
      <c r="J19" s="7"/>
      <c r="K19" s="7"/>
      <c r="L19" s="16"/>
      <c r="M19" s="16"/>
      <c r="N19" s="16"/>
      <c r="O19" s="7"/>
    </row>
    <row r="20" spans="1:15" x14ac:dyDescent="0.35">
      <c r="A20" s="7" t="str">
        <f t="shared" si="0"/>
        <v>J-019</v>
      </c>
      <c r="B20" s="7"/>
      <c r="C20" s="7"/>
      <c r="D20" s="7"/>
      <c r="E20" s="7"/>
      <c r="F20" s="16"/>
      <c r="G20" s="16"/>
      <c r="H20" s="16" t="str">
        <f t="shared" si="1"/>
        <v/>
      </c>
      <c r="I20" s="17" t="str">
        <f t="shared" si="2"/>
        <v/>
      </c>
      <c r="J20" s="7"/>
      <c r="K20" s="7"/>
      <c r="L20" s="16"/>
      <c r="M20" s="16"/>
      <c r="N20" s="16"/>
      <c r="O20" s="7"/>
    </row>
    <row r="21" spans="1:15" x14ac:dyDescent="0.35">
      <c r="A21" s="7" t="str">
        <f t="shared" si="0"/>
        <v>J-020</v>
      </c>
      <c r="B21" s="7"/>
      <c r="C21" s="7"/>
      <c r="D21" s="7"/>
      <c r="E21" s="7"/>
      <c r="F21" s="16"/>
      <c r="G21" s="16"/>
      <c r="H21" s="16" t="str">
        <f t="shared" si="1"/>
        <v/>
      </c>
      <c r="I21" s="17" t="str">
        <f t="shared" si="2"/>
        <v/>
      </c>
      <c r="J21" s="7"/>
      <c r="K21" s="7"/>
      <c r="L21" s="16"/>
      <c r="M21" s="16"/>
      <c r="N21" s="16"/>
      <c r="O21" s="7"/>
    </row>
    <row r="22" spans="1:15" x14ac:dyDescent="0.35">
      <c r="A22" s="7" t="str">
        <f t="shared" si="0"/>
        <v>J-021</v>
      </c>
      <c r="B22" s="7"/>
      <c r="C22" s="7"/>
      <c r="D22" s="7"/>
      <c r="E22" s="7"/>
      <c r="F22" s="16"/>
      <c r="G22" s="16"/>
      <c r="H22" s="16" t="str">
        <f t="shared" si="1"/>
        <v/>
      </c>
      <c r="I22" s="17" t="str">
        <f t="shared" si="2"/>
        <v/>
      </c>
      <c r="J22" s="7"/>
      <c r="K22" s="7"/>
      <c r="L22" s="16"/>
      <c r="M22" s="16"/>
      <c r="N22" s="16"/>
      <c r="O22" s="7"/>
    </row>
    <row r="23" spans="1:15" x14ac:dyDescent="0.35">
      <c r="A23" s="7" t="str">
        <f t="shared" si="0"/>
        <v>J-022</v>
      </c>
      <c r="B23" s="7"/>
      <c r="C23" s="7"/>
      <c r="D23" s="7"/>
      <c r="E23" s="7"/>
      <c r="F23" s="16"/>
      <c r="G23" s="16"/>
      <c r="H23" s="16" t="str">
        <f t="shared" si="1"/>
        <v/>
      </c>
      <c r="I23" s="17" t="str">
        <f t="shared" si="2"/>
        <v/>
      </c>
      <c r="J23" s="7"/>
      <c r="K23" s="7"/>
      <c r="L23" s="16"/>
      <c r="M23" s="16"/>
      <c r="N23" s="16"/>
      <c r="O23" s="7"/>
    </row>
    <row r="24" spans="1:15" x14ac:dyDescent="0.35">
      <c r="A24" s="7" t="str">
        <f t="shared" si="0"/>
        <v>J-023</v>
      </c>
      <c r="B24" s="7"/>
      <c r="C24" s="7"/>
      <c r="D24" s="7"/>
      <c r="E24" s="7"/>
      <c r="F24" s="16"/>
      <c r="G24" s="16"/>
      <c r="H24" s="16" t="str">
        <f t="shared" si="1"/>
        <v/>
      </c>
      <c r="I24" s="17" t="str">
        <f t="shared" si="2"/>
        <v/>
      </c>
      <c r="J24" s="7"/>
      <c r="K24" s="7"/>
      <c r="L24" s="16"/>
      <c r="M24" s="16"/>
      <c r="N24" s="16"/>
      <c r="O24" s="7"/>
    </row>
    <row r="25" spans="1:15" x14ac:dyDescent="0.35">
      <c r="A25" s="7" t="str">
        <f t="shared" si="0"/>
        <v>J-024</v>
      </c>
      <c r="B25" s="7"/>
      <c r="C25" s="7"/>
      <c r="D25" s="7"/>
      <c r="E25" s="7"/>
      <c r="F25" s="16"/>
      <c r="G25" s="16"/>
      <c r="H25" s="16" t="str">
        <f t="shared" si="1"/>
        <v/>
      </c>
      <c r="I25" s="17" t="str">
        <f t="shared" si="2"/>
        <v/>
      </c>
      <c r="J25" s="7"/>
      <c r="K25" s="7"/>
      <c r="L25" s="16"/>
      <c r="M25" s="16"/>
      <c r="N25" s="16"/>
      <c r="O25" s="7"/>
    </row>
    <row r="26" spans="1:15" x14ac:dyDescent="0.35">
      <c r="A26" s="7" t="str">
        <f t="shared" si="0"/>
        <v>J-025</v>
      </c>
      <c r="B26" s="7"/>
      <c r="C26" s="7"/>
      <c r="D26" s="7"/>
      <c r="E26" s="7"/>
      <c r="F26" s="16"/>
      <c r="G26" s="16"/>
      <c r="H26" s="16" t="str">
        <f t="shared" si="1"/>
        <v/>
      </c>
      <c r="I26" s="17" t="str">
        <f t="shared" si="2"/>
        <v/>
      </c>
      <c r="J26" s="7"/>
      <c r="K26" s="7"/>
      <c r="L26" s="16"/>
      <c r="M26" s="16"/>
      <c r="N26" s="16"/>
      <c r="O26" s="7"/>
    </row>
    <row r="27" spans="1:15" x14ac:dyDescent="0.35">
      <c r="A27" s="7" t="str">
        <f t="shared" si="0"/>
        <v>J-026</v>
      </c>
      <c r="B27" s="7"/>
      <c r="C27" s="7"/>
      <c r="D27" s="7"/>
      <c r="E27" s="7"/>
      <c r="F27" s="16"/>
      <c r="G27" s="16"/>
      <c r="H27" s="16" t="str">
        <f t="shared" si="1"/>
        <v/>
      </c>
      <c r="I27" s="17" t="str">
        <f t="shared" si="2"/>
        <v/>
      </c>
      <c r="J27" s="7"/>
      <c r="K27" s="7"/>
      <c r="L27" s="16"/>
      <c r="M27" s="16"/>
      <c r="N27" s="16"/>
      <c r="O27" s="7"/>
    </row>
    <row r="28" spans="1:15" x14ac:dyDescent="0.35">
      <c r="A28" s="7" t="str">
        <f t="shared" si="0"/>
        <v>J-027</v>
      </c>
      <c r="B28" s="7"/>
      <c r="C28" s="7"/>
      <c r="D28" s="7"/>
      <c r="E28" s="7"/>
      <c r="F28" s="16"/>
      <c r="G28" s="16"/>
      <c r="H28" s="16" t="str">
        <f t="shared" si="1"/>
        <v/>
      </c>
      <c r="I28" s="17" t="str">
        <f t="shared" si="2"/>
        <v/>
      </c>
      <c r="J28" s="7"/>
      <c r="K28" s="7"/>
      <c r="L28" s="16"/>
      <c r="M28" s="16"/>
      <c r="N28" s="16"/>
      <c r="O28" s="7"/>
    </row>
    <row r="29" spans="1:15" x14ac:dyDescent="0.35">
      <c r="A29" s="7" t="str">
        <f t="shared" si="0"/>
        <v>J-028</v>
      </c>
      <c r="B29" s="7"/>
      <c r="C29" s="7"/>
      <c r="D29" s="7"/>
      <c r="E29" s="7"/>
      <c r="F29" s="16"/>
      <c r="G29" s="16"/>
      <c r="H29" s="16" t="str">
        <f t="shared" si="1"/>
        <v/>
      </c>
      <c r="I29" s="17" t="str">
        <f t="shared" si="2"/>
        <v/>
      </c>
      <c r="J29" s="7"/>
      <c r="K29" s="7"/>
      <c r="L29" s="16"/>
      <c r="M29" s="16"/>
      <c r="N29" s="16"/>
      <c r="O29" s="7"/>
    </row>
    <row r="30" spans="1:15" x14ac:dyDescent="0.35">
      <c r="A30" s="7" t="str">
        <f t="shared" si="0"/>
        <v>J-029</v>
      </c>
      <c r="B30" s="7"/>
      <c r="C30" s="7"/>
      <c r="D30" s="7"/>
      <c r="E30" s="7"/>
      <c r="F30" s="16"/>
      <c r="G30" s="16"/>
      <c r="H30" s="16" t="str">
        <f t="shared" si="1"/>
        <v/>
      </c>
      <c r="I30" s="17" t="str">
        <f t="shared" si="2"/>
        <v/>
      </c>
      <c r="J30" s="7"/>
      <c r="K30" s="7"/>
      <c r="L30" s="16"/>
      <c r="M30" s="16"/>
      <c r="N30" s="16"/>
      <c r="O30" s="7"/>
    </row>
    <row r="31" spans="1:15" x14ac:dyDescent="0.35">
      <c r="A31" s="7" t="str">
        <f t="shared" si="0"/>
        <v>J-030</v>
      </c>
      <c r="B31" s="7"/>
      <c r="C31" s="7"/>
      <c r="D31" s="7"/>
      <c r="E31" s="7"/>
      <c r="F31" s="16"/>
      <c r="G31" s="16"/>
      <c r="H31" s="16" t="str">
        <f t="shared" si="1"/>
        <v/>
      </c>
      <c r="I31" s="17" t="str">
        <f t="shared" si="2"/>
        <v/>
      </c>
      <c r="J31" s="7"/>
      <c r="K31" s="7"/>
      <c r="L31" s="16"/>
      <c r="M31" s="16"/>
      <c r="N31" s="16"/>
      <c r="O31" s="7"/>
    </row>
    <row r="32" spans="1:15" x14ac:dyDescent="0.35">
      <c r="A32" s="7" t="str">
        <f t="shared" si="0"/>
        <v>J-031</v>
      </c>
      <c r="B32" s="7"/>
      <c r="C32" s="7"/>
      <c r="D32" s="7"/>
      <c r="E32" s="7"/>
      <c r="F32" s="16"/>
      <c r="G32" s="16"/>
      <c r="H32" s="16" t="str">
        <f t="shared" si="1"/>
        <v/>
      </c>
      <c r="I32" s="17" t="str">
        <f t="shared" si="2"/>
        <v/>
      </c>
      <c r="J32" s="7"/>
      <c r="K32" s="7"/>
      <c r="L32" s="16"/>
      <c r="M32" s="16"/>
      <c r="N32" s="16"/>
      <c r="O32" s="7"/>
    </row>
    <row r="33" spans="1:15" x14ac:dyDescent="0.35">
      <c r="A33" s="7" t="str">
        <f t="shared" si="0"/>
        <v>J-032</v>
      </c>
      <c r="B33" s="7"/>
      <c r="C33" s="7"/>
      <c r="D33" s="7"/>
      <c r="E33" s="7"/>
      <c r="F33" s="16"/>
      <c r="G33" s="16"/>
      <c r="H33" s="16" t="str">
        <f t="shared" si="1"/>
        <v/>
      </c>
      <c r="I33" s="17" t="str">
        <f t="shared" si="2"/>
        <v/>
      </c>
      <c r="J33" s="7"/>
      <c r="K33" s="7"/>
      <c r="L33" s="16"/>
      <c r="M33" s="16"/>
      <c r="N33" s="16"/>
      <c r="O33" s="7"/>
    </row>
    <row r="34" spans="1:15" x14ac:dyDescent="0.35">
      <c r="A34" s="7" t="str">
        <f t="shared" si="0"/>
        <v>J-033</v>
      </c>
      <c r="B34" s="7"/>
      <c r="C34" s="7"/>
      <c r="D34" s="7"/>
      <c r="E34" s="7"/>
      <c r="F34" s="16"/>
      <c r="G34" s="16"/>
      <c r="H34" s="16" t="str">
        <f t="shared" si="1"/>
        <v/>
      </c>
      <c r="I34" s="17" t="str">
        <f t="shared" si="2"/>
        <v/>
      </c>
      <c r="J34" s="7"/>
      <c r="K34" s="7"/>
      <c r="L34" s="16"/>
      <c r="M34" s="16"/>
      <c r="N34" s="16"/>
      <c r="O34" s="7"/>
    </row>
    <row r="35" spans="1:15" x14ac:dyDescent="0.35">
      <c r="A35" s="7" t="str">
        <f t="shared" ref="A35:A66" si="3">"J-"&amp;TEXT(ROW()-1,"000")</f>
        <v>J-034</v>
      </c>
      <c r="B35" s="7"/>
      <c r="C35" s="7"/>
      <c r="D35" s="7"/>
      <c r="E35" s="7"/>
      <c r="F35" s="16"/>
      <c r="G35" s="16"/>
      <c r="H35" s="16" t="str">
        <f t="shared" ref="H35:H66" si="4">IF(OR(L35="",M35=""),"",L35-M35)</f>
        <v/>
      </c>
      <c r="I35" s="17" t="str">
        <f t="shared" ref="I35:I66" si="5">IFERROR(N35/L35,"")</f>
        <v/>
      </c>
      <c r="J35" s="7"/>
      <c r="K35" s="7"/>
      <c r="L35" s="16"/>
      <c r="M35" s="16"/>
      <c r="N35" s="16"/>
      <c r="O35" s="7"/>
    </row>
    <row r="36" spans="1:15" x14ac:dyDescent="0.35">
      <c r="A36" s="7" t="str">
        <f t="shared" si="3"/>
        <v>J-035</v>
      </c>
      <c r="B36" s="7"/>
      <c r="C36" s="7"/>
      <c r="D36" s="7"/>
      <c r="E36" s="7"/>
      <c r="F36" s="16"/>
      <c r="G36" s="16"/>
      <c r="H36" s="16" t="str">
        <f t="shared" si="4"/>
        <v/>
      </c>
      <c r="I36" s="17" t="str">
        <f t="shared" si="5"/>
        <v/>
      </c>
      <c r="J36" s="7"/>
      <c r="K36" s="7"/>
      <c r="L36" s="16"/>
      <c r="M36" s="16"/>
      <c r="N36" s="16"/>
      <c r="O36" s="7"/>
    </row>
    <row r="37" spans="1:15" x14ac:dyDescent="0.35">
      <c r="A37" s="7" t="str">
        <f t="shared" si="3"/>
        <v>J-036</v>
      </c>
      <c r="B37" s="7"/>
      <c r="C37" s="7"/>
      <c r="D37" s="7"/>
      <c r="E37" s="7"/>
      <c r="F37" s="16"/>
      <c r="G37" s="16"/>
      <c r="H37" s="16" t="str">
        <f t="shared" si="4"/>
        <v/>
      </c>
      <c r="I37" s="17" t="str">
        <f t="shared" si="5"/>
        <v/>
      </c>
      <c r="J37" s="7"/>
      <c r="K37" s="7"/>
      <c r="L37" s="16"/>
      <c r="M37" s="16"/>
      <c r="N37" s="16"/>
      <c r="O37" s="7"/>
    </row>
    <row r="38" spans="1:15" x14ac:dyDescent="0.35">
      <c r="A38" s="7" t="str">
        <f t="shared" si="3"/>
        <v>J-037</v>
      </c>
      <c r="B38" s="7"/>
      <c r="C38" s="7"/>
      <c r="D38" s="7"/>
      <c r="E38" s="7"/>
      <c r="F38" s="16"/>
      <c r="G38" s="16"/>
      <c r="H38" s="16" t="str">
        <f t="shared" si="4"/>
        <v/>
      </c>
      <c r="I38" s="17" t="str">
        <f t="shared" si="5"/>
        <v/>
      </c>
      <c r="J38" s="7"/>
      <c r="K38" s="7"/>
      <c r="L38" s="16"/>
      <c r="M38" s="16"/>
      <c r="N38" s="16"/>
      <c r="O38" s="7"/>
    </row>
    <row r="39" spans="1:15" x14ac:dyDescent="0.35">
      <c r="A39" s="7" t="str">
        <f t="shared" si="3"/>
        <v>J-038</v>
      </c>
      <c r="B39" s="7"/>
      <c r="C39" s="7"/>
      <c r="D39" s="7"/>
      <c r="E39" s="7"/>
      <c r="F39" s="16"/>
      <c r="G39" s="16"/>
      <c r="H39" s="16" t="str">
        <f t="shared" si="4"/>
        <v/>
      </c>
      <c r="I39" s="17" t="str">
        <f t="shared" si="5"/>
        <v/>
      </c>
      <c r="J39" s="7"/>
      <c r="K39" s="7"/>
      <c r="L39" s="16"/>
      <c r="M39" s="16"/>
      <c r="N39" s="16"/>
      <c r="O39" s="7"/>
    </row>
    <row r="40" spans="1:15" x14ac:dyDescent="0.35">
      <c r="A40" s="7" t="str">
        <f t="shared" si="3"/>
        <v>J-039</v>
      </c>
      <c r="B40" s="7"/>
      <c r="C40" s="7"/>
      <c r="D40" s="7"/>
      <c r="E40" s="7"/>
      <c r="F40" s="16"/>
      <c r="G40" s="16"/>
      <c r="H40" s="16" t="str">
        <f t="shared" si="4"/>
        <v/>
      </c>
      <c r="I40" s="17" t="str">
        <f t="shared" si="5"/>
        <v/>
      </c>
      <c r="J40" s="7"/>
      <c r="K40" s="7"/>
      <c r="L40" s="16"/>
      <c r="M40" s="16"/>
      <c r="N40" s="16"/>
      <c r="O40" s="7"/>
    </row>
    <row r="41" spans="1:15" x14ac:dyDescent="0.35">
      <c r="A41" s="7" t="str">
        <f t="shared" si="3"/>
        <v>J-040</v>
      </c>
      <c r="B41" s="7"/>
      <c r="C41" s="7"/>
      <c r="D41" s="7"/>
      <c r="E41" s="7"/>
      <c r="F41" s="16"/>
      <c r="G41" s="16"/>
      <c r="H41" s="16" t="str">
        <f t="shared" si="4"/>
        <v/>
      </c>
      <c r="I41" s="17" t="str">
        <f t="shared" si="5"/>
        <v/>
      </c>
      <c r="J41" s="7"/>
      <c r="K41" s="7"/>
      <c r="L41" s="16"/>
      <c r="M41" s="16"/>
      <c r="N41" s="16"/>
      <c r="O41" s="7"/>
    </row>
    <row r="42" spans="1:15" x14ac:dyDescent="0.35">
      <c r="A42" s="7" t="str">
        <f t="shared" si="3"/>
        <v>J-041</v>
      </c>
      <c r="B42" s="7"/>
      <c r="C42" s="7"/>
      <c r="D42" s="7"/>
      <c r="E42" s="7"/>
      <c r="F42" s="16"/>
      <c r="G42" s="16"/>
      <c r="H42" s="16" t="str">
        <f t="shared" si="4"/>
        <v/>
      </c>
      <c r="I42" s="17" t="str">
        <f t="shared" si="5"/>
        <v/>
      </c>
      <c r="J42" s="7"/>
      <c r="K42" s="7"/>
      <c r="L42" s="16"/>
      <c r="M42" s="16"/>
      <c r="N42" s="16"/>
      <c r="O42" s="7"/>
    </row>
    <row r="43" spans="1:15" x14ac:dyDescent="0.35">
      <c r="A43" s="7" t="str">
        <f t="shared" si="3"/>
        <v>J-042</v>
      </c>
      <c r="B43" s="7"/>
      <c r="C43" s="7"/>
      <c r="D43" s="7"/>
      <c r="E43" s="7"/>
      <c r="F43" s="16"/>
      <c r="G43" s="16"/>
      <c r="H43" s="16" t="str">
        <f t="shared" si="4"/>
        <v/>
      </c>
      <c r="I43" s="17" t="str">
        <f t="shared" si="5"/>
        <v/>
      </c>
      <c r="J43" s="7"/>
      <c r="K43" s="7"/>
      <c r="L43" s="16"/>
      <c r="M43" s="16"/>
      <c r="N43" s="16"/>
      <c r="O43" s="7"/>
    </row>
    <row r="44" spans="1:15" x14ac:dyDescent="0.35">
      <c r="A44" s="7" t="str">
        <f t="shared" si="3"/>
        <v>J-043</v>
      </c>
      <c r="B44" s="7"/>
      <c r="C44" s="7"/>
      <c r="D44" s="7"/>
      <c r="E44" s="7"/>
      <c r="F44" s="16"/>
      <c r="G44" s="16"/>
      <c r="H44" s="16" t="str">
        <f t="shared" si="4"/>
        <v/>
      </c>
      <c r="I44" s="17" t="str">
        <f t="shared" si="5"/>
        <v/>
      </c>
      <c r="J44" s="7"/>
      <c r="K44" s="7"/>
      <c r="L44" s="16"/>
      <c r="M44" s="16"/>
      <c r="N44" s="16"/>
      <c r="O44" s="7"/>
    </row>
    <row r="45" spans="1:15" x14ac:dyDescent="0.35">
      <c r="A45" s="7" t="str">
        <f t="shared" si="3"/>
        <v>J-044</v>
      </c>
      <c r="B45" s="7"/>
      <c r="C45" s="7"/>
      <c r="D45" s="7"/>
      <c r="E45" s="7"/>
      <c r="F45" s="16"/>
      <c r="G45" s="16"/>
      <c r="H45" s="16" t="str">
        <f t="shared" si="4"/>
        <v/>
      </c>
      <c r="I45" s="17" t="str">
        <f t="shared" si="5"/>
        <v/>
      </c>
      <c r="J45" s="7"/>
      <c r="K45" s="7"/>
      <c r="L45" s="16"/>
      <c r="M45" s="16"/>
      <c r="N45" s="16"/>
      <c r="O45" s="7"/>
    </row>
    <row r="46" spans="1:15" x14ac:dyDescent="0.35">
      <c r="A46" s="7" t="str">
        <f t="shared" si="3"/>
        <v>J-045</v>
      </c>
      <c r="B46" s="7"/>
      <c r="C46" s="7"/>
      <c r="D46" s="7"/>
      <c r="E46" s="7"/>
      <c r="F46" s="16"/>
      <c r="G46" s="16"/>
      <c r="H46" s="16" t="str">
        <f t="shared" si="4"/>
        <v/>
      </c>
      <c r="I46" s="17" t="str">
        <f t="shared" si="5"/>
        <v/>
      </c>
      <c r="J46" s="7"/>
      <c r="K46" s="7"/>
      <c r="L46" s="16"/>
      <c r="M46" s="16"/>
      <c r="N46" s="16"/>
      <c r="O46" s="7"/>
    </row>
    <row r="47" spans="1:15" x14ac:dyDescent="0.35">
      <c r="A47" s="7" t="str">
        <f t="shared" si="3"/>
        <v>J-046</v>
      </c>
      <c r="B47" s="7"/>
      <c r="C47" s="7"/>
      <c r="D47" s="7"/>
      <c r="E47" s="7"/>
      <c r="F47" s="16"/>
      <c r="G47" s="16"/>
      <c r="H47" s="16" t="str">
        <f t="shared" si="4"/>
        <v/>
      </c>
      <c r="I47" s="17" t="str">
        <f t="shared" si="5"/>
        <v/>
      </c>
      <c r="J47" s="7"/>
      <c r="K47" s="7"/>
      <c r="L47" s="16"/>
      <c r="M47" s="16"/>
      <c r="N47" s="16"/>
      <c r="O47" s="7"/>
    </row>
    <row r="48" spans="1:15" x14ac:dyDescent="0.35">
      <c r="A48" s="7" t="str">
        <f t="shared" si="3"/>
        <v>J-047</v>
      </c>
      <c r="B48" s="7"/>
      <c r="C48" s="7"/>
      <c r="D48" s="7"/>
      <c r="E48" s="7"/>
      <c r="F48" s="16"/>
      <c r="G48" s="16"/>
      <c r="H48" s="16" t="str">
        <f t="shared" si="4"/>
        <v/>
      </c>
      <c r="I48" s="17" t="str">
        <f t="shared" si="5"/>
        <v/>
      </c>
      <c r="J48" s="7"/>
      <c r="K48" s="7"/>
      <c r="L48" s="16"/>
      <c r="M48" s="16"/>
      <c r="N48" s="16"/>
      <c r="O48" s="7"/>
    </row>
    <row r="49" spans="1:15" x14ac:dyDescent="0.35">
      <c r="A49" s="7" t="str">
        <f t="shared" si="3"/>
        <v>J-048</v>
      </c>
      <c r="B49" s="7"/>
      <c r="C49" s="7"/>
      <c r="D49" s="7"/>
      <c r="E49" s="7"/>
      <c r="F49" s="16"/>
      <c r="G49" s="16"/>
      <c r="H49" s="16" t="str">
        <f t="shared" si="4"/>
        <v/>
      </c>
      <c r="I49" s="17" t="str">
        <f t="shared" si="5"/>
        <v/>
      </c>
      <c r="J49" s="7"/>
      <c r="K49" s="7"/>
      <c r="L49" s="16"/>
      <c r="M49" s="16"/>
      <c r="N49" s="16"/>
      <c r="O49" s="7"/>
    </row>
    <row r="50" spans="1:15" x14ac:dyDescent="0.35">
      <c r="A50" s="7" t="str">
        <f t="shared" si="3"/>
        <v>J-049</v>
      </c>
      <c r="B50" s="7"/>
      <c r="C50" s="7"/>
      <c r="D50" s="7"/>
      <c r="E50" s="7"/>
      <c r="F50" s="16"/>
      <c r="G50" s="16"/>
      <c r="H50" s="16" t="str">
        <f t="shared" si="4"/>
        <v/>
      </c>
      <c r="I50" s="17" t="str">
        <f t="shared" si="5"/>
        <v/>
      </c>
      <c r="J50" s="7"/>
      <c r="K50" s="7"/>
      <c r="L50" s="16"/>
      <c r="M50" s="16"/>
      <c r="N50" s="16"/>
      <c r="O50" s="7"/>
    </row>
    <row r="51" spans="1:15" x14ac:dyDescent="0.35">
      <c r="A51" s="7" t="str">
        <f t="shared" si="3"/>
        <v>J-050</v>
      </c>
      <c r="B51" s="7"/>
      <c r="C51" s="7"/>
      <c r="D51" s="7"/>
      <c r="E51" s="7"/>
      <c r="F51" s="16"/>
      <c r="G51" s="16"/>
      <c r="H51" s="16" t="str">
        <f t="shared" si="4"/>
        <v/>
      </c>
      <c r="I51" s="17" t="str">
        <f t="shared" si="5"/>
        <v/>
      </c>
      <c r="J51" s="7"/>
      <c r="K51" s="7"/>
      <c r="L51" s="16"/>
      <c r="M51" s="16"/>
      <c r="N51" s="16"/>
      <c r="O51" s="7"/>
    </row>
    <row r="52" spans="1:15" x14ac:dyDescent="0.35">
      <c r="A52" s="7" t="str">
        <f t="shared" si="3"/>
        <v>J-051</v>
      </c>
      <c r="B52" s="7"/>
      <c r="C52" s="7"/>
      <c r="D52" s="7"/>
      <c r="E52" s="7"/>
      <c r="F52" s="16"/>
      <c r="G52" s="16"/>
      <c r="H52" s="16" t="str">
        <f t="shared" si="4"/>
        <v/>
      </c>
      <c r="I52" s="17" t="str">
        <f t="shared" si="5"/>
        <v/>
      </c>
      <c r="J52" s="7"/>
      <c r="K52" s="7"/>
      <c r="L52" s="16"/>
      <c r="M52" s="16"/>
      <c r="N52" s="16"/>
      <c r="O52" s="7"/>
    </row>
    <row r="53" spans="1:15" x14ac:dyDescent="0.35">
      <c r="A53" s="7" t="str">
        <f t="shared" si="3"/>
        <v>J-052</v>
      </c>
      <c r="B53" s="7"/>
      <c r="C53" s="7"/>
      <c r="D53" s="7"/>
      <c r="E53" s="7"/>
      <c r="F53" s="16"/>
      <c r="G53" s="16"/>
      <c r="H53" s="16" t="str">
        <f t="shared" si="4"/>
        <v/>
      </c>
      <c r="I53" s="17" t="str">
        <f t="shared" si="5"/>
        <v/>
      </c>
      <c r="J53" s="7"/>
      <c r="K53" s="7"/>
      <c r="L53" s="16"/>
      <c r="M53" s="16"/>
      <c r="N53" s="16"/>
      <c r="O53" s="7"/>
    </row>
    <row r="54" spans="1:15" x14ac:dyDescent="0.35">
      <c r="A54" s="7" t="str">
        <f t="shared" si="3"/>
        <v>J-053</v>
      </c>
      <c r="B54" s="7"/>
      <c r="C54" s="7"/>
      <c r="D54" s="7"/>
      <c r="E54" s="7"/>
      <c r="F54" s="16"/>
      <c r="G54" s="16"/>
      <c r="H54" s="16" t="str">
        <f t="shared" si="4"/>
        <v/>
      </c>
      <c r="I54" s="17" t="str">
        <f t="shared" si="5"/>
        <v/>
      </c>
      <c r="J54" s="7"/>
      <c r="K54" s="7"/>
      <c r="L54" s="16"/>
      <c r="M54" s="16"/>
      <c r="N54" s="16"/>
      <c r="O54" s="7"/>
    </row>
    <row r="55" spans="1:15" x14ac:dyDescent="0.35">
      <c r="A55" s="7" t="str">
        <f t="shared" si="3"/>
        <v>J-054</v>
      </c>
      <c r="B55" s="7"/>
      <c r="C55" s="7"/>
      <c r="D55" s="7"/>
      <c r="E55" s="7"/>
      <c r="F55" s="16"/>
      <c r="G55" s="16"/>
      <c r="H55" s="16" t="str">
        <f t="shared" si="4"/>
        <v/>
      </c>
      <c r="I55" s="17" t="str">
        <f t="shared" si="5"/>
        <v/>
      </c>
      <c r="J55" s="7"/>
      <c r="K55" s="7"/>
      <c r="L55" s="16"/>
      <c r="M55" s="16"/>
      <c r="N55" s="16"/>
      <c r="O55" s="7"/>
    </row>
    <row r="56" spans="1:15" x14ac:dyDescent="0.35">
      <c r="A56" s="7" t="str">
        <f t="shared" si="3"/>
        <v>J-055</v>
      </c>
      <c r="B56" s="7"/>
      <c r="C56" s="7"/>
      <c r="D56" s="7"/>
      <c r="E56" s="7"/>
      <c r="F56" s="16"/>
      <c r="G56" s="16"/>
      <c r="H56" s="16" t="str">
        <f t="shared" si="4"/>
        <v/>
      </c>
      <c r="I56" s="17" t="str">
        <f t="shared" si="5"/>
        <v/>
      </c>
      <c r="J56" s="7"/>
      <c r="K56" s="7"/>
      <c r="L56" s="16"/>
      <c r="M56" s="16"/>
      <c r="N56" s="16"/>
      <c r="O56" s="7"/>
    </row>
    <row r="57" spans="1:15" x14ac:dyDescent="0.35">
      <c r="A57" s="7" t="str">
        <f t="shared" si="3"/>
        <v>J-056</v>
      </c>
      <c r="B57" s="7"/>
      <c r="C57" s="7"/>
      <c r="D57" s="7"/>
      <c r="E57" s="7"/>
      <c r="F57" s="16"/>
      <c r="G57" s="16"/>
      <c r="H57" s="16" t="str">
        <f t="shared" si="4"/>
        <v/>
      </c>
      <c r="I57" s="17" t="str">
        <f t="shared" si="5"/>
        <v/>
      </c>
      <c r="J57" s="7"/>
      <c r="K57" s="7"/>
      <c r="L57" s="16"/>
      <c r="M57" s="16"/>
      <c r="N57" s="16"/>
      <c r="O57" s="7"/>
    </row>
    <row r="58" spans="1:15" x14ac:dyDescent="0.35">
      <c r="A58" s="7" t="str">
        <f t="shared" si="3"/>
        <v>J-057</v>
      </c>
      <c r="B58" s="7"/>
      <c r="C58" s="7"/>
      <c r="D58" s="7"/>
      <c r="E58" s="7"/>
      <c r="F58" s="16"/>
      <c r="G58" s="16"/>
      <c r="H58" s="16" t="str">
        <f t="shared" si="4"/>
        <v/>
      </c>
      <c r="I58" s="17" t="str">
        <f t="shared" si="5"/>
        <v/>
      </c>
      <c r="J58" s="7"/>
      <c r="K58" s="7"/>
      <c r="L58" s="16"/>
      <c r="M58" s="16"/>
      <c r="N58" s="16"/>
      <c r="O58" s="7"/>
    </row>
    <row r="59" spans="1:15" x14ac:dyDescent="0.35">
      <c r="A59" s="7" t="str">
        <f t="shared" si="3"/>
        <v>J-058</v>
      </c>
      <c r="B59" s="7"/>
      <c r="C59" s="7"/>
      <c r="D59" s="7"/>
      <c r="E59" s="7"/>
      <c r="F59" s="16"/>
      <c r="G59" s="16"/>
      <c r="H59" s="16" t="str">
        <f t="shared" si="4"/>
        <v/>
      </c>
      <c r="I59" s="17" t="str">
        <f t="shared" si="5"/>
        <v/>
      </c>
      <c r="J59" s="7"/>
      <c r="K59" s="7"/>
      <c r="L59" s="16"/>
      <c r="M59" s="16"/>
      <c r="N59" s="16"/>
      <c r="O59" s="7"/>
    </row>
    <row r="60" spans="1:15" x14ac:dyDescent="0.35">
      <c r="A60" s="7" t="str">
        <f t="shared" si="3"/>
        <v>J-059</v>
      </c>
      <c r="B60" s="7"/>
      <c r="C60" s="7"/>
      <c r="D60" s="7"/>
      <c r="E60" s="7"/>
      <c r="F60" s="16"/>
      <c r="G60" s="16"/>
      <c r="H60" s="16" t="str">
        <f t="shared" si="4"/>
        <v/>
      </c>
      <c r="I60" s="17" t="str">
        <f t="shared" si="5"/>
        <v/>
      </c>
      <c r="J60" s="7"/>
      <c r="K60" s="7"/>
      <c r="L60" s="16"/>
      <c r="M60" s="16"/>
      <c r="N60" s="16"/>
      <c r="O60" s="7"/>
    </row>
    <row r="61" spans="1:15" x14ac:dyDescent="0.35">
      <c r="A61" s="7" t="str">
        <f t="shared" si="3"/>
        <v>J-060</v>
      </c>
      <c r="B61" s="7"/>
      <c r="C61" s="7"/>
      <c r="D61" s="7"/>
      <c r="E61" s="7"/>
      <c r="F61" s="16"/>
      <c r="G61" s="16"/>
      <c r="H61" s="16" t="str">
        <f t="shared" si="4"/>
        <v/>
      </c>
      <c r="I61" s="17" t="str">
        <f t="shared" si="5"/>
        <v/>
      </c>
      <c r="J61" s="7"/>
      <c r="K61" s="7"/>
      <c r="L61" s="16"/>
      <c r="M61" s="16"/>
      <c r="N61" s="16"/>
      <c r="O61" s="7"/>
    </row>
    <row r="62" spans="1:15" x14ac:dyDescent="0.35">
      <c r="A62" s="7" t="str">
        <f t="shared" si="3"/>
        <v>J-061</v>
      </c>
      <c r="B62" s="7"/>
      <c r="C62" s="7"/>
      <c r="D62" s="7"/>
      <c r="E62" s="7"/>
      <c r="F62" s="16"/>
      <c r="G62" s="16"/>
      <c r="H62" s="16" t="str">
        <f t="shared" si="4"/>
        <v/>
      </c>
      <c r="I62" s="17" t="str">
        <f t="shared" si="5"/>
        <v/>
      </c>
      <c r="J62" s="7"/>
      <c r="K62" s="7"/>
      <c r="L62" s="16"/>
      <c r="M62" s="16"/>
      <c r="N62" s="16"/>
      <c r="O62" s="7"/>
    </row>
    <row r="63" spans="1:15" x14ac:dyDescent="0.35">
      <c r="A63" s="7" t="str">
        <f t="shared" si="3"/>
        <v>J-062</v>
      </c>
      <c r="B63" s="7"/>
      <c r="C63" s="7"/>
      <c r="D63" s="7"/>
      <c r="E63" s="7"/>
      <c r="F63" s="16"/>
      <c r="G63" s="16"/>
      <c r="H63" s="16" t="str">
        <f t="shared" si="4"/>
        <v/>
      </c>
      <c r="I63" s="17" t="str">
        <f t="shared" si="5"/>
        <v/>
      </c>
      <c r="J63" s="7"/>
      <c r="K63" s="7"/>
      <c r="L63" s="16"/>
      <c r="M63" s="16"/>
      <c r="N63" s="16"/>
      <c r="O63" s="7"/>
    </row>
    <row r="64" spans="1:15" x14ac:dyDescent="0.35">
      <c r="A64" s="7" t="str">
        <f t="shared" si="3"/>
        <v>J-063</v>
      </c>
      <c r="B64" s="7"/>
      <c r="C64" s="7"/>
      <c r="D64" s="7"/>
      <c r="E64" s="7"/>
      <c r="F64" s="16"/>
      <c r="G64" s="16"/>
      <c r="H64" s="16" t="str">
        <f t="shared" si="4"/>
        <v/>
      </c>
      <c r="I64" s="17" t="str">
        <f t="shared" si="5"/>
        <v/>
      </c>
      <c r="J64" s="7"/>
      <c r="K64" s="7"/>
      <c r="L64" s="16"/>
      <c r="M64" s="16"/>
      <c r="N64" s="16"/>
      <c r="O64" s="7"/>
    </row>
    <row r="65" spans="1:15" x14ac:dyDescent="0.35">
      <c r="A65" s="7" t="str">
        <f t="shared" si="3"/>
        <v>J-064</v>
      </c>
      <c r="B65" s="7"/>
      <c r="C65" s="7"/>
      <c r="D65" s="7"/>
      <c r="E65" s="7"/>
      <c r="F65" s="16"/>
      <c r="G65" s="16"/>
      <c r="H65" s="16" t="str">
        <f t="shared" si="4"/>
        <v/>
      </c>
      <c r="I65" s="17" t="str">
        <f t="shared" si="5"/>
        <v/>
      </c>
      <c r="J65" s="7"/>
      <c r="K65" s="7"/>
      <c r="L65" s="16"/>
      <c r="M65" s="16"/>
      <c r="N65" s="16"/>
      <c r="O65" s="7"/>
    </row>
    <row r="66" spans="1:15" x14ac:dyDescent="0.35">
      <c r="A66" s="7" t="str">
        <f t="shared" si="3"/>
        <v>J-065</v>
      </c>
      <c r="B66" s="7"/>
      <c r="C66" s="7"/>
      <c r="D66" s="7"/>
      <c r="E66" s="7"/>
      <c r="F66" s="16"/>
      <c r="G66" s="16"/>
      <c r="H66" s="16" t="str">
        <f t="shared" si="4"/>
        <v/>
      </c>
      <c r="I66" s="17" t="str">
        <f t="shared" si="5"/>
        <v/>
      </c>
      <c r="J66" s="7"/>
      <c r="K66" s="7"/>
      <c r="L66" s="16"/>
      <c r="M66" s="16"/>
      <c r="N66" s="16"/>
      <c r="O66" s="7"/>
    </row>
    <row r="67" spans="1:15" x14ac:dyDescent="0.35">
      <c r="A67" s="7" t="str">
        <f t="shared" ref="A67:A98" si="6">"J-"&amp;TEXT(ROW()-1,"000")</f>
        <v>J-066</v>
      </c>
      <c r="B67" s="7"/>
      <c r="C67" s="7"/>
      <c r="D67" s="7"/>
      <c r="E67" s="7"/>
      <c r="F67" s="16"/>
      <c r="G67" s="16"/>
      <c r="H67" s="16" t="str">
        <f t="shared" ref="H67:H98" si="7">IF(OR(L67="",M67=""),"",L67-M67)</f>
        <v/>
      </c>
      <c r="I67" s="17" t="str">
        <f t="shared" ref="I67:I98" si="8">IFERROR(N67/L67,"")</f>
        <v/>
      </c>
      <c r="J67" s="7"/>
      <c r="K67" s="7"/>
      <c r="L67" s="16"/>
      <c r="M67" s="16"/>
      <c r="N67" s="16"/>
      <c r="O67" s="7"/>
    </row>
    <row r="68" spans="1:15" x14ac:dyDescent="0.35">
      <c r="A68" s="7" t="str">
        <f t="shared" si="6"/>
        <v>J-067</v>
      </c>
      <c r="B68" s="7"/>
      <c r="C68" s="7"/>
      <c r="D68" s="7"/>
      <c r="E68" s="7"/>
      <c r="F68" s="16"/>
      <c r="G68" s="16"/>
      <c r="H68" s="16" t="str">
        <f t="shared" si="7"/>
        <v/>
      </c>
      <c r="I68" s="17" t="str">
        <f t="shared" si="8"/>
        <v/>
      </c>
      <c r="J68" s="7"/>
      <c r="K68" s="7"/>
      <c r="L68" s="16"/>
      <c r="M68" s="16"/>
      <c r="N68" s="16"/>
      <c r="O68" s="7"/>
    </row>
    <row r="69" spans="1:15" x14ac:dyDescent="0.35">
      <c r="A69" s="7" t="str">
        <f t="shared" si="6"/>
        <v>J-068</v>
      </c>
      <c r="B69" s="7"/>
      <c r="C69" s="7"/>
      <c r="D69" s="7"/>
      <c r="E69" s="7"/>
      <c r="F69" s="16"/>
      <c r="G69" s="16"/>
      <c r="H69" s="16" t="str">
        <f t="shared" si="7"/>
        <v/>
      </c>
      <c r="I69" s="17" t="str">
        <f t="shared" si="8"/>
        <v/>
      </c>
      <c r="J69" s="7"/>
      <c r="K69" s="7"/>
      <c r="L69" s="16"/>
      <c r="M69" s="16"/>
      <c r="N69" s="16"/>
      <c r="O69" s="7"/>
    </row>
    <row r="70" spans="1:15" x14ac:dyDescent="0.35">
      <c r="A70" s="7" t="str">
        <f t="shared" si="6"/>
        <v>J-069</v>
      </c>
      <c r="B70" s="7"/>
      <c r="C70" s="7"/>
      <c r="D70" s="7"/>
      <c r="E70" s="7"/>
      <c r="F70" s="16"/>
      <c r="G70" s="16"/>
      <c r="H70" s="16" t="str">
        <f t="shared" si="7"/>
        <v/>
      </c>
      <c r="I70" s="17" t="str">
        <f t="shared" si="8"/>
        <v/>
      </c>
      <c r="J70" s="7"/>
      <c r="K70" s="7"/>
      <c r="L70" s="16"/>
      <c r="M70" s="16"/>
      <c r="N70" s="16"/>
      <c r="O70" s="7"/>
    </row>
    <row r="71" spans="1:15" x14ac:dyDescent="0.35">
      <c r="A71" s="7" t="str">
        <f t="shared" si="6"/>
        <v>J-070</v>
      </c>
      <c r="B71" s="7"/>
      <c r="C71" s="7"/>
      <c r="D71" s="7"/>
      <c r="E71" s="7"/>
      <c r="F71" s="16"/>
      <c r="G71" s="16"/>
      <c r="H71" s="16" t="str">
        <f t="shared" si="7"/>
        <v/>
      </c>
      <c r="I71" s="17" t="str">
        <f t="shared" si="8"/>
        <v/>
      </c>
      <c r="J71" s="7"/>
      <c r="K71" s="7"/>
      <c r="L71" s="16"/>
      <c r="M71" s="16"/>
      <c r="N71" s="16"/>
      <c r="O71" s="7"/>
    </row>
    <row r="72" spans="1:15" x14ac:dyDescent="0.35">
      <c r="A72" s="7" t="str">
        <f t="shared" si="6"/>
        <v>J-071</v>
      </c>
      <c r="B72" s="7"/>
      <c r="C72" s="7"/>
      <c r="D72" s="7"/>
      <c r="E72" s="7"/>
      <c r="F72" s="16"/>
      <c r="G72" s="16"/>
      <c r="H72" s="16" t="str">
        <f t="shared" si="7"/>
        <v/>
      </c>
      <c r="I72" s="17" t="str">
        <f t="shared" si="8"/>
        <v/>
      </c>
      <c r="J72" s="7"/>
      <c r="K72" s="7"/>
      <c r="L72" s="16"/>
      <c r="M72" s="16"/>
      <c r="N72" s="16"/>
      <c r="O72" s="7"/>
    </row>
    <row r="73" spans="1:15" x14ac:dyDescent="0.35">
      <c r="A73" s="7" t="str">
        <f t="shared" si="6"/>
        <v>J-072</v>
      </c>
      <c r="B73" s="7"/>
      <c r="C73" s="7"/>
      <c r="D73" s="7"/>
      <c r="E73" s="7"/>
      <c r="F73" s="16"/>
      <c r="G73" s="16"/>
      <c r="H73" s="16" t="str">
        <f t="shared" si="7"/>
        <v/>
      </c>
      <c r="I73" s="17" t="str">
        <f t="shared" si="8"/>
        <v/>
      </c>
      <c r="J73" s="7"/>
      <c r="K73" s="7"/>
      <c r="L73" s="16"/>
      <c r="M73" s="16"/>
      <c r="N73" s="16"/>
      <c r="O73" s="7"/>
    </row>
    <row r="74" spans="1:15" x14ac:dyDescent="0.35">
      <c r="A74" s="7" t="str">
        <f t="shared" si="6"/>
        <v>J-073</v>
      </c>
      <c r="B74" s="7"/>
      <c r="C74" s="7"/>
      <c r="D74" s="7"/>
      <c r="E74" s="7"/>
      <c r="F74" s="16"/>
      <c r="G74" s="16"/>
      <c r="H74" s="16" t="str">
        <f t="shared" si="7"/>
        <v/>
      </c>
      <c r="I74" s="17" t="str">
        <f t="shared" si="8"/>
        <v/>
      </c>
      <c r="J74" s="7"/>
      <c r="K74" s="7"/>
      <c r="L74" s="16"/>
      <c r="M74" s="16"/>
      <c r="N74" s="16"/>
      <c r="O74" s="7"/>
    </row>
    <row r="75" spans="1:15" x14ac:dyDescent="0.35">
      <c r="A75" s="7" t="str">
        <f t="shared" si="6"/>
        <v>J-074</v>
      </c>
      <c r="B75" s="7"/>
      <c r="C75" s="7"/>
      <c r="D75" s="7"/>
      <c r="E75" s="7"/>
      <c r="F75" s="16"/>
      <c r="G75" s="16"/>
      <c r="H75" s="16" t="str">
        <f t="shared" si="7"/>
        <v/>
      </c>
      <c r="I75" s="17" t="str">
        <f t="shared" si="8"/>
        <v/>
      </c>
      <c r="J75" s="7"/>
      <c r="K75" s="7"/>
      <c r="L75" s="16"/>
      <c r="M75" s="16"/>
      <c r="N75" s="16"/>
      <c r="O75" s="7"/>
    </row>
    <row r="76" spans="1:15" x14ac:dyDescent="0.35">
      <c r="A76" s="7" t="str">
        <f t="shared" si="6"/>
        <v>J-075</v>
      </c>
      <c r="B76" s="7"/>
      <c r="C76" s="7"/>
      <c r="D76" s="7"/>
      <c r="E76" s="7"/>
      <c r="F76" s="16"/>
      <c r="G76" s="16"/>
      <c r="H76" s="16" t="str">
        <f t="shared" si="7"/>
        <v/>
      </c>
      <c r="I76" s="17" t="str">
        <f t="shared" si="8"/>
        <v/>
      </c>
      <c r="J76" s="7"/>
      <c r="K76" s="7"/>
      <c r="L76" s="16"/>
      <c r="M76" s="16"/>
      <c r="N76" s="16"/>
      <c r="O76" s="7"/>
    </row>
    <row r="77" spans="1:15" x14ac:dyDescent="0.35">
      <c r="A77" s="7" t="str">
        <f t="shared" si="6"/>
        <v>J-076</v>
      </c>
      <c r="B77" s="7"/>
      <c r="C77" s="7"/>
      <c r="D77" s="7"/>
      <c r="E77" s="7"/>
      <c r="F77" s="16"/>
      <c r="G77" s="16"/>
      <c r="H77" s="16" t="str">
        <f t="shared" si="7"/>
        <v/>
      </c>
      <c r="I77" s="17" t="str">
        <f t="shared" si="8"/>
        <v/>
      </c>
      <c r="J77" s="7"/>
      <c r="K77" s="7"/>
      <c r="L77" s="16"/>
      <c r="M77" s="16"/>
      <c r="N77" s="16"/>
      <c r="O77" s="7"/>
    </row>
    <row r="78" spans="1:15" x14ac:dyDescent="0.35">
      <c r="A78" s="7" t="str">
        <f t="shared" si="6"/>
        <v>J-077</v>
      </c>
      <c r="B78" s="7"/>
      <c r="C78" s="7"/>
      <c r="D78" s="7"/>
      <c r="E78" s="7"/>
      <c r="F78" s="16"/>
      <c r="G78" s="16"/>
      <c r="H78" s="16" t="str">
        <f t="shared" si="7"/>
        <v/>
      </c>
      <c r="I78" s="17" t="str">
        <f t="shared" si="8"/>
        <v/>
      </c>
      <c r="J78" s="7"/>
      <c r="K78" s="7"/>
      <c r="L78" s="16"/>
      <c r="M78" s="16"/>
      <c r="N78" s="16"/>
      <c r="O78" s="7"/>
    </row>
    <row r="79" spans="1:15" x14ac:dyDescent="0.35">
      <c r="A79" s="7" t="str">
        <f t="shared" si="6"/>
        <v>J-078</v>
      </c>
      <c r="B79" s="7"/>
      <c r="C79" s="7"/>
      <c r="D79" s="7"/>
      <c r="E79" s="7"/>
      <c r="F79" s="16"/>
      <c r="G79" s="16"/>
      <c r="H79" s="16" t="str">
        <f t="shared" si="7"/>
        <v/>
      </c>
      <c r="I79" s="17" t="str">
        <f t="shared" si="8"/>
        <v/>
      </c>
      <c r="J79" s="7"/>
      <c r="K79" s="7"/>
      <c r="L79" s="16"/>
      <c r="M79" s="16"/>
      <c r="N79" s="16"/>
      <c r="O79" s="7"/>
    </row>
    <row r="80" spans="1:15" x14ac:dyDescent="0.35">
      <c r="A80" s="7" t="str">
        <f t="shared" si="6"/>
        <v>J-079</v>
      </c>
      <c r="B80" s="7"/>
      <c r="C80" s="7"/>
      <c r="D80" s="7"/>
      <c r="E80" s="7"/>
      <c r="F80" s="16"/>
      <c r="G80" s="16"/>
      <c r="H80" s="16" t="str">
        <f t="shared" si="7"/>
        <v/>
      </c>
      <c r="I80" s="17" t="str">
        <f t="shared" si="8"/>
        <v/>
      </c>
      <c r="J80" s="7"/>
      <c r="K80" s="7"/>
      <c r="L80" s="16"/>
      <c r="M80" s="16"/>
      <c r="N80" s="16"/>
      <c r="O80" s="7"/>
    </row>
    <row r="81" spans="1:15" x14ac:dyDescent="0.35">
      <c r="A81" s="7" t="str">
        <f t="shared" si="6"/>
        <v>J-080</v>
      </c>
      <c r="B81" s="7"/>
      <c r="C81" s="7"/>
      <c r="D81" s="7"/>
      <c r="E81" s="7"/>
      <c r="F81" s="16"/>
      <c r="G81" s="16"/>
      <c r="H81" s="16" t="str">
        <f t="shared" si="7"/>
        <v/>
      </c>
      <c r="I81" s="17" t="str">
        <f t="shared" si="8"/>
        <v/>
      </c>
      <c r="J81" s="7"/>
      <c r="K81" s="7"/>
      <c r="L81" s="16"/>
      <c r="M81" s="16"/>
      <c r="N81" s="16"/>
      <c r="O81" s="7"/>
    </row>
    <row r="82" spans="1:15" x14ac:dyDescent="0.35">
      <c r="A82" s="7" t="str">
        <f t="shared" si="6"/>
        <v>J-081</v>
      </c>
      <c r="B82" s="7"/>
      <c r="C82" s="7"/>
      <c r="D82" s="7"/>
      <c r="E82" s="7"/>
      <c r="F82" s="16"/>
      <c r="G82" s="16"/>
      <c r="H82" s="16" t="str">
        <f t="shared" si="7"/>
        <v/>
      </c>
      <c r="I82" s="17" t="str">
        <f t="shared" si="8"/>
        <v/>
      </c>
      <c r="J82" s="7"/>
      <c r="K82" s="7"/>
      <c r="L82" s="16"/>
      <c r="M82" s="16"/>
      <c r="N82" s="16"/>
      <c r="O82" s="7"/>
    </row>
    <row r="83" spans="1:15" x14ac:dyDescent="0.35">
      <c r="A83" s="7" t="str">
        <f t="shared" si="6"/>
        <v>J-082</v>
      </c>
      <c r="B83" s="7"/>
      <c r="C83" s="7"/>
      <c r="D83" s="7"/>
      <c r="E83" s="7"/>
      <c r="F83" s="16"/>
      <c r="G83" s="16"/>
      <c r="H83" s="16" t="str">
        <f t="shared" si="7"/>
        <v/>
      </c>
      <c r="I83" s="17" t="str">
        <f t="shared" si="8"/>
        <v/>
      </c>
      <c r="J83" s="7"/>
      <c r="K83" s="7"/>
      <c r="L83" s="16"/>
      <c r="M83" s="16"/>
      <c r="N83" s="16"/>
      <c r="O83" s="7"/>
    </row>
    <row r="84" spans="1:15" x14ac:dyDescent="0.35">
      <c r="A84" s="7" t="str">
        <f t="shared" si="6"/>
        <v>J-083</v>
      </c>
      <c r="B84" s="7"/>
      <c r="C84" s="7"/>
      <c r="D84" s="7"/>
      <c r="E84" s="7"/>
      <c r="F84" s="16"/>
      <c r="G84" s="16"/>
      <c r="H84" s="16" t="str">
        <f t="shared" si="7"/>
        <v/>
      </c>
      <c r="I84" s="17" t="str">
        <f t="shared" si="8"/>
        <v/>
      </c>
      <c r="J84" s="7"/>
      <c r="K84" s="7"/>
      <c r="L84" s="16"/>
      <c r="M84" s="16"/>
      <c r="N84" s="16"/>
      <c r="O84" s="7"/>
    </row>
    <row r="85" spans="1:15" x14ac:dyDescent="0.35">
      <c r="A85" s="7" t="str">
        <f t="shared" si="6"/>
        <v>J-084</v>
      </c>
      <c r="B85" s="7"/>
      <c r="C85" s="7"/>
      <c r="D85" s="7"/>
      <c r="E85" s="7"/>
      <c r="F85" s="16"/>
      <c r="G85" s="16"/>
      <c r="H85" s="16" t="str">
        <f t="shared" si="7"/>
        <v/>
      </c>
      <c r="I85" s="17" t="str">
        <f t="shared" si="8"/>
        <v/>
      </c>
      <c r="J85" s="7"/>
      <c r="K85" s="7"/>
      <c r="L85" s="16"/>
      <c r="M85" s="16"/>
      <c r="N85" s="16"/>
      <c r="O85" s="7"/>
    </row>
    <row r="86" spans="1:15" x14ac:dyDescent="0.35">
      <c r="A86" s="7" t="str">
        <f t="shared" si="6"/>
        <v>J-085</v>
      </c>
      <c r="B86" s="7"/>
      <c r="C86" s="7"/>
      <c r="D86" s="7"/>
      <c r="E86" s="7"/>
      <c r="F86" s="16"/>
      <c r="G86" s="16"/>
      <c r="H86" s="16" t="str">
        <f t="shared" si="7"/>
        <v/>
      </c>
      <c r="I86" s="17" t="str">
        <f t="shared" si="8"/>
        <v/>
      </c>
      <c r="J86" s="7"/>
      <c r="K86" s="7"/>
      <c r="L86" s="16"/>
      <c r="M86" s="16"/>
      <c r="N86" s="16"/>
      <c r="O86" s="7"/>
    </row>
    <row r="87" spans="1:15" x14ac:dyDescent="0.35">
      <c r="A87" s="7" t="str">
        <f t="shared" si="6"/>
        <v>J-086</v>
      </c>
      <c r="B87" s="7"/>
      <c r="C87" s="7"/>
      <c r="D87" s="7"/>
      <c r="E87" s="7"/>
      <c r="F87" s="16"/>
      <c r="G87" s="16"/>
      <c r="H87" s="16" t="str">
        <f t="shared" si="7"/>
        <v/>
      </c>
      <c r="I87" s="17" t="str">
        <f t="shared" si="8"/>
        <v/>
      </c>
      <c r="J87" s="7"/>
      <c r="K87" s="7"/>
      <c r="L87" s="16"/>
      <c r="M87" s="16"/>
      <c r="N87" s="16"/>
      <c r="O87" s="7"/>
    </row>
    <row r="88" spans="1:15" x14ac:dyDescent="0.35">
      <c r="A88" s="7" t="str">
        <f t="shared" si="6"/>
        <v>J-087</v>
      </c>
      <c r="B88" s="7"/>
      <c r="C88" s="7"/>
      <c r="D88" s="7"/>
      <c r="E88" s="7"/>
      <c r="F88" s="16"/>
      <c r="G88" s="16"/>
      <c r="H88" s="16" t="str">
        <f t="shared" si="7"/>
        <v/>
      </c>
      <c r="I88" s="17" t="str">
        <f t="shared" si="8"/>
        <v/>
      </c>
      <c r="J88" s="7"/>
      <c r="K88" s="7"/>
      <c r="L88" s="16"/>
      <c r="M88" s="16"/>
      <c r="N88" s="16"/>
      <c r="O88" s="7"/>
    </row>
    <row r="89" spans="1:15" x14ac:dyDescent="0.35">
      <c r="A89" s="7" t="str">
        <f t="shared" si="6"/>
        <v>J-088</v>
      </c>
      <c r="B89" s="7"/>
      <c r="C89" s="7"/>
      <c r="D89" s="7"/>
      <c r="E89" s="7"/>
      <c r="F89" s="16"/>
      <c r="G89" s="16"/>
      <c r="H89" s="16" t="str">
        <f t="shared" si="7"/>
        <v/>
      </c>
      <c r="I89" s="17" t="str">
        <f t="shared" si="8"/>
        <v/>
      </c>
      <c r="J89" s="7"/>
      <c r="K89" s="7"/>
      <c r="L89" s="16"/>
      <c r="M89" s="16"/>
      <c r="N89" s="16"/>
      <c r="O89" s="7"/>
    </row>
    <row r="90" spans="1:15" x14ac:dyDescent="0.35">
      <c r="A90" s="7" t="str">
        <f t="shared" si="6"/>
        <v>J-089</v>
      </c>
      <c r="B90" s="7"/>
      <c r="C90" s="7"/>
      <c r="D90" s="7"/>
      <c r="E90" s="7"/>
      <c r="F90" s="16"/>
      <c r="G90" s="16"/>
      <c r="H90" s="16" t="str">
        <f t="shared" si="7"/>
        <v/>
      </c>
      <c r="I90" s="17" t="str">
        <f t="shared" si="8"/>
        <v/>
      </c>
      <c r="J90" s="7"/>
      <c r="K90" s="7"/>
      <c r="L90" s="16"/>
      <c r="M90" s="16"/>
      <c r="N90" s="16"/>
      <c r="O90" s="7"/>
    </row>
    <row r="91" spans="1:15" x14ac:dyDescent="0.35">
      <c r="A91" s="7" t="str">
        <f t="shared" si="6"/>
        <v>J-090</v>
      </c>
      <c r="B91" s="7"/>
      <c r="C91" s="7"/>
      <c r="D91" s="7"/>
      <c r="E91" s="7"/>
      <c r="F91" s="16"/>
      <c r="G91" s="16"/>
      <c r="H91" s="16" t="str">
        <f t="shared" si="7"/>
        <v/>
      </c>
      <c r="I91" s="17" t="str">
        <f t="shared" si="8"/>
        <v/>
      </c>
      <c r="J91" s="7"/>
      <c r="K91" s="7"/>
      <c r="L91" s="16"/>
      <c r="M91" s="16"/>
      <c r="N91" s="16"/>
      <c r="O91" s="7"/>
    </row>
    <row r="92" spans="1:15" x14ac:dyDescent="0.35">
      <c r="A92" s="7" t="str">
        <f t="shared" si="6"/>
        <v>J-091</v>
      </c>
      <c r="B92" s="7"/>
      <c r="C92" s="7"/>
      <c r="D92" s="7"/>
      <c r="E92" s="7"/>
      <c r="F92" s="16"/>
      <c r="G92" s="16"/>
      <c r="H92" s="16" t="str">
        <f t="shared" si="7"/>
        <v/>
      </c>
      <c r="I92" s="17" t="str">
        <f t="shared" si="8"/>
        <v/>
      </c>
      <c r="J92" s="7"/>
      <c r="K92" s="7"/>
      <c r="L92" s="16"/>
      <c r="M92" s="16"/>
      <c r="N92" s="16"/>
      <c r="O92" s="7"/>
    </row>
    <row r="93" spans="1:15" x14ac:dyDescent="0.35">
      <c r="A93" s="7" t="str">
        <f t="shared" si="6"/>
        <v>J-092</v>
      </c>
      <c r="B93" s="7"/>
      <c r="C93" s="7"/>
      <c r="D93" s="7"/>
      <c r="E93" s="7"/>
      <c r="F93" s="16"/>
      <c r="G93" s="16"/>
      <c r="H93" s="16" t="str">
        <f t="shared" si="7"/>
        <v/>
      </c>
      <c r="I93" s="17" t="str">
        <f t="shared" si="8"/>
        <v/>
      </c>
      <c r="J93" s="7"/>
      <c r="K93" s="7"/>
      <c r="L93" s="16"/>
      <c r="M93" s="16"/>
      <c r="N93" s="16"/>
      <c r="O93" s="7"/>
    </row>
    <row r="94" spans="1:15" x14ac:dyDescent="0.35">
      <c r="A94" s="7" t="str">
        <f t="shared" si="6"/>
        <v>J-093</v>
      </c>
      <c r="B94" s="7"/>
      <c r="C94" s="7"/>
      <c r="D94" s="7"/>
      <c r="E94" s="7"/>
      <c r="F94" s="16"/>
      <c r="G94" s="16"/>
      <c r="H94" s="16" t="str">
        <f t="shared" si="7"/>
        <v/>
      </c>
      <c r="I94" s="17" t="str">
        <f t="shared" si="8"/>
        <v/>
      </c>
      <c r="J94" s="7"/>
      <c r="K94" s="7"/>
      <c r="L94" s="16"/>
      <c r="M94" s="16"/>
      <c r="N94" s="16"/>
      <c r="O94" s="7"/>
    </row>
    <row r="95" spans="1:15" x14ac:dyDescent="0.35">
      <c r="A95" s="7" t="str">
        <f t="shared" si="6"/>
        <v>J-094</v>
      </c>
      <c r="B95" s="7"/>
      <c r="C95" s="7"/>
      <c r="D95" s="7"/>
      <c r="E95" s="7"/>
      <c r="F95" s="16"/>
      <c r="G95" s="16"/>
      <c r="H95" s="16" t="str">
        <f t="shared" si="7"/>
        <v/>
      </c>
      <c r="I95" s="17" t="str">
        <f t="shared" si="8"/>
        <v/>
      </c>
      <c r="J95" s="7"/>
      <c r="K95" s="7"/>
      <c r="L95" s="16"/>
      <c r="M95" s="16"/>
      <c r="N95" s="16"/>
      <c r="O95" s="7"/>
    </row>
    <row r="96" spans="1:15" x14ac:dyDescent="0.35">
      <c r="A96" s="7" t="str">
        <f t="shared" si="6"/>
        <v>J-095</v>
      </c>
      <c r="B96" s="7"/>
      <c r="C96" s="7"/>
      <c r="D96" s="7"/>
      <c r="E96" s="7"/>
      <c r="F96" s="16"/>
      <c r="G96" s="16"/>
      <c r="H96" s="16" t="str">
        <f t="shared" si="7"/>
        <v/>
      </c>
      <c r="I96" s="17" t="str">
        <f t="shared" si="8"/>
        <v/>
      </c>
      <c r="J96" s="7"/>
      <c r="K96" s="7"/>
      <c r="L96" s="16"/>
      <c r="M96" s="16"/>
      <c r="N96" s="16"/>
      <c r="O96" s="7"/>
    </row>
    <row r="97" spans="1:15" x14ac:dyDescent="0.35">
      <c r="A97" s="7" t="str">
        <f t="shared" si="6"/>
        <v>J-096</v>
      </c>
      <c r="B97" s="7"/>
      <c r="C97" s="7"/>
      <c r="D97" s="7"/>
      <c r="E97" s="7"/>
      <c r="F97" s="16"/>
      <c r="G97" s="16"/>
      <c r="H97" s="16" t="str">
        <f t="shared" si="7"/>
        <v/>
      </c>
      <c r="I97" s="17" t="str">
        <f t="shared" si="8"/>
        <v/>
      </c>
      <c r="J97" s="7"/>
      <c r="K97" s="7"/>
      <c r="L97" s="16"/>
      <c r="M97" s="16"/>
      <c r="N97" s="16"/>
      <c r="O97" s="7"/>
    </row>
    <row r="98" spans="1:15" x14ac:dyDescent="0.35">
      <c r="A98" s="7" t="str">
        <f t="shared" si="6"/>
        <v>J-097</v>
      </c>
      <c r="B98" s="7"/>
      <c r="C98" s="7"/>
      <c r="D98" s="7"/>
      <c r="E98" s="7"/>
      <c r="F98" s="16"/>
      <c r="G98" s="16"/>
      <c r="H98" s="16" t="str">
        <f t="shared" si="7"/>
        <v/>
      </c>
      <c r="I98" s="17" t="str">
        <f t="shared" si="8"/>
        <v/>
      </c>
      <c r="J98" s="7"/>
      <c r="K98" s="7"/>
      <c r="L98" s="16"/>
      <c r="M98" s="16"/>
      <c r="N98" s="16"/>
      <c r="O98" s="7"/>
    </row>
    <row r="99" spans="1:15" x14ac:dyDescent="0.35">
      <c r="A99" s="7" t="str">
        <f t="shared" ref="A99:A130" si="9">"J-"&amp;TEXT(ROW()-1,"000")</f>
        <v>J-098</v>
      </c>
      <c r="B99" s="7"/>
      <c r="C99" s="7"/>
      <c r="D99" s="7"/>
      <c r="E99" s="7"/>
      <c r="F99" s="16"/>
      <c r="G99" s="16"/>
      <c r="H99" s="16" t="str">
        <f t="shared" ref="H99:H130" si="10">IF(OR(L99="",M99=""),"",L99-M99)</f>
        <v/>
      </c>
      <c r="I99" s="17" t="str">
        <f t="shared" ref="I99:I130" si="11">IFERROR(N99/L99,"")</f>
        <v/>
      </c>
      <c r="J99" s="7"/>
      <c r="K99" s="7"/>
      <c r="L99" s="16"/>
      <c r="M99" s="16"/>
      <c r="N99" s="16"/>
      <c r="O99" s="7"/>
    </row>
    <row r="100" spans="1:15" x14ac:dyDescent="0.35">
      <c r="A100" s="7" t="str">
        <f t="shared" si="9"/>
        <v>J-099</v>
      </c>
      <c r="B100" s="7"/>
      <c r="C100" s="7"/>
      <c r="D100" s="7"/>
      <c r="E100" s="7"/>
      <c r="F100" s="16"/>
      <c r="G100" s="16"/>
      <c r="H100" s="16" t="str">
        <f t="shared" si="10"/>
        <v/>
      </c>
      <c r="I100" s="17" t="str">
        <f t="shared" si="11"/>
        <v/>
      </c>
      <c r="J100" s="7"/>
      <c r="K100" s="7"/>
      <c r="L100" s="16"/>
      <c r="M100" s="16"/>
      <c r="N100" s="16"/>
      <c r="O100" s="7"/>
    </row>
    <row r="101" spans="1:15" x14ac:dyDescent="0.35">
      <c r="A101" s="7" t="str">
        <f t="shared" si="9"/>
        <v>J-100</v>
      </c>
      <c r="B101" s="7"/>
      <c r="C101" s="7"/>
      <c r="D101" s="7"/>
      <c r="E101" s="7"/>
      <c r="F101" s="16"/>
      <c r="G101" s="16"/>
      <c r="H101" s="16" t="str">
        <f t="shared" si="10"/>
        <v/>
      </c>
      <c r="I101" s="17" t="str">
        <f t="shared" si="11"/>
        <v/>
      </c>
      <c r="J101" s="7"/>
      <c r="K101" s="7"/>
      <c r="L101" s="16"/>
      <c r="M101" s="16"/>
      <c r="N101" s="16"/>
      <c r="O101" s="7"/>
    </row>
    <row r="102" spans="1:15" x14ac:dyDescent="0.35">
      <c r="A102" s="7" t="str">
        <f t="shared" si="9"/>
        <v>J-101</v>
      </c>
      <c r="B102" s="7"/>
      <c r="C102" s="7"/>
      <c r="D102" s="7"/>
      <c r="E102" s="7"/>
      <c r="F102" s="16"/>
      <c r="G102" s="16"/>
      <c r="H102" s="16" t="str">
        <f t="shared" si="10"/>
        <v/>
      </c>
      <c r="I102" s="17" t="str">
        <f t="shared" si="11"/>
        <v/>
      </c>
      <c r="J102" s="7"/>
      <c r="K102" s="7"/>
      <c r="L102" s="16"/>
      <c r="M102" s="16"/>
      <c r="N102" s="16"/>
      <c r="O102" s="7"/>
    </row>
    <row r="103" spans="1:15" x14ac:dyDescent="0.35">
      <c r="A103" s="7" t="str">
        <f t="shared" si="9"/>
        <v>J-102</v>
      </c>
      <c r="B103" s="7"/>
      <c r="C103" s="7"/>
      <c r="D103" s="7"/>
      <c r="E103" s="7"/>
      <c r="F103" s="16"/>
      <c r="G103" s="16"/>
      <c r="H103" s="16" t="str">
        <f t="shared" si="10"/>
        <v/>
      </c>
      <c r="I103" s="17" t="str">
        <f t="shared" si="11"/>
        <v/>
      </c>
      <c r="J103" s="7"/>
      <c r="K103" s="7"/>
      <c r="L103" s="16"/>
      <c r="M103" s="16"/>
      <c r="N103" s="16"/>
      <c r="O103" s="7"/>
    </row>
    <row r="104" spans="1:15" x14ac:dyDescent="0.35">
      <c r="A104" s="7" t="str">
        <f t="shared" si="9"/>
        <v>J-103</v>
      </c>
      <c r="B104" s="7"/>
      <c r="C104" s="7"/>
      <c r="D104" s="7"/>
      <c r="E104" s="7"/>
      <c r="F104" s="16"/>
      <c r="G104" s="16"/>
      <c r="H104" s="16" t="str">
        <f t="shared" si="10"/>
        <v/>
      </c>
      <c r="I104" s="17" t="str">
        <f t="shared" si="11"/>
        <v/>
      </c>
      <c r="J104" s="7"/>
      <c r="K104" s="7"/>
      <c r="L104" s="16"/>
      <c r="M104" s="16"/>
      <c r="N104" s="16"/>
      <c r="O104" s="7"/>
    </row>
    <row r="105" spans="1:15" x14ac:dyDescent="0.35">
      <c r="A105" s="7" t="str">
        <f t="shared" si="9"/>
        <v>J-104</v>
      </c>
      <c r="B105" s="7"/>
      <c r="C105" s="7"/>
      <c r="D105" s="7"/>
      <c r="E105" s="7"/>
      <c r="F105" s="16"/>
      <c r="G105" s="16"/>
      <c r="H105" s="16" t="str">
        <f t="shared" si="10"/>
        <v/>
      </c>
      <c r="I105" s="17" t="str">
        <f t="shared" si="11"/>
        <v/>
      </c>
      <c r="J105" s="7"/>
      <c r="K105" s="7"/>
      <c r="L105" s="16"/>
      <c r="M105" s="16"/>
      <c r="N105" s="16"/>
      <c r="O105" s="7"/>
    </row>
    <row r="106" spans="1:15" x14ac:dyDescent="0.35">
      <c r="A106" s="7" t="str">
        <f t="shared" si="9"/>
        <v>J-105</v>
      </c>
      <c r="B106" s="7"/>
      <c r="C106" s="7"/>
      <c r="D106" s="7"/>
      <c r="E106" s="7"/>
      <c r="F106" s="16"/>
      <c r="G106" s="16"/>
      <c r="H106" s="16" t="str">
        <f t="shared" si="10"/>
        <v/>
      </c>
      <c r="I106" s="17" t="str">
        <f t="shared" si="11"/>
        <v/>
      </c>
      <c r="J106" s="7"/>
      <c r="K106" s="7"/>
      <c r="L106" s="16"/>
      <c r="M106" s="16"/>
      <c r="N106" s="16"/>
      <c r="O106" s="7"/>
    </row>
    <row r="107" spans="1:15" x14ac:dyDescent="0.35">
      <c r="A107" s="7" t="str">
        <f t="shared" si="9"/>
        <v>J-106</v>
      </c>
      <c r="B107" s="7"/>
      <c r="C107" s="7"/>
      <c r="D107" s="7"/>
      <c r="E107" s="7"/>
      <c r="F107" s="16"/>
      <c r="G107" s="16"/>
      <c r="H107" s="16" t="str">
        <f t="shared" si="10"/>
        <v/>
      </c>
      <c r="I107" s="17" t="str">
        <f t="shared" si="11"/>
        <v/>
      </c>
      <c r="J107" s="7"/>
      <c r="K107" s="7"/>
      <c r="L107" s="16"/>
      <c r="M107" s="16"/>
      <c r="N107" s="16"/>
      <c r="O107" s="7"/>
    </row>
    <row r="108" spans="1:15" x14ac:dyDescent="0.35">
      <c r="A108" s="7" t="str">
        <f t="shared" si="9"/>
        <v>J-107</v>
      </c>
      <c r="B108" s="7"/>
      <c r="C108" s="7"/>
      <c r="D108" s="7"/>
      <c r="E108" s="7"/>
      <c r="F108" s="16"/>
      <c r="G108" s="16"/>
      <c r="H108" s="16" t="str">
        <f t="shared" si="10"/>
        <v/>
      </c>
      <c r="I108" s="17" t="str">
        <f t="shared" si="11"/>
        <v/>
      </c>
      <c r="J108" s="7"/>
      <c r="K108" s="7"/>
      <c r="L108" s="16"/>
      <c r="M108" s="16"/>
      <c r="N108" s="16"/>
      <c r="O108" s="7"/>
    </row>
    <row r="109" spans="1:15" x14ac:dyDescent="0.35">
      <c r="A109" s="7" t="str">
        <f t="shared" si="9"/>
        <v>J-108</v>
      </c>
      <c r="B109" s="7"/>
      <c r="C109" s="7"/>
      <c r="D109" s="7"/>
      <c r="E109" s="7"/>
      <c r="F109" s="16"/>
      <c r="G109" s="16"/>
      <c r="H109" s="16" t="str">
        <f t="shared" si="10"/>
        <v/>
      </c>
      <c r="I109" s="17" t="str">
        <f t="shared" si="11"/>
        <v/>
      </c>
      <c r="J109" s="7"/>
      <c r="K109" s="7"/>
      <c r="L109" s="16"/>
      <c r="M109" s="16"/>
      <c r="N109" s="16"/>
      <c r="O109" s="7"/>
    </row>
    <row r="110" spans="1:15" x14ac:dyDescent="0.35">
      <c r="A110" s="7" t="str">
        <f t="shared" si="9"/>
        <v>J-109</v>
      </c>
      <c r="B110" s="7"/>
      <c r="C110" s="7"/>
      <c r="D110" s="7"/>
      <c r="E110" s="7"/>
      <c r="F110" s="16"/>
      <c r="G110" s="16"/>
      <c r="H110" s="16" t="str">
        <f t="shared" si="10"/>
        <v/>
      </c>
      <c r="I110" s="17" t="str">
        <f t="shared" si="11"/>
        <v/>
      </c>
      <c r="J110" s="7"/>
      <c r="K110" s="7"/>
      <c r="L110" s="16"/>
      <c r="M110" s="16"/>
      <c r="N110" s="16"/>
      <c r="O110" s="7"/>
    </row>
    <row r="111" spans="1:15" x14ac:dyDescent="0.35">
      <c r="A111" s="7" t="str">
        <f t="shared" si="9"/>
        <v>J-110</v>
      </c>
      <c r="B111" s="7"/>
      <c r="C111" s="7"/>
      <c r="D111" s="7"/>
      <c r="E111" s="7"/>
      <c r="F111" s="16"/>
      <c r="G111" s="16"/>
      <c r="H111" s="16" t="str">
        <f t="shared" si="10"/>
        <v/>
      </c>
      <c r="I111" s="17" t="str">
        <f t="shared" si="11"/>
        <v/>
      </c>
      <c r="J111" s="7"/>
      <c r="K111" s="7"/>
      <c r="L111" s="16"/>
      <c r="M111" s="16"/>
      <c r="N111" s="16"/>
      <c r="O111" s="7"/>
    </row>
    <row r="112" spans="1:15" x14ac:dyDescent="0.35">
      <c r="A112" s="7" t="str">
        <f t="shared" si="9"/>
        <v>J-111</v>
      </c>
      <c r="B112" s="7"/>
      <c r="C112" s="7"/>
      <c r="D112" s="7"/>
      <c r="E112" s="7"/>
      <c r="F112" s="16"/>
      <c r="G112" s="16"/>
      <c r="H112" s="16" t="str">
        <f t="shared" si="10"/>
        <v/>
      </c>
      <c r="I112" s="17" t="str">
        <f t="shared" si="11"/>
        <v/>
      </c>
      <c r="J112" s="7"/>
      <c r="K112" s="7"/>
      <c r="L112" s="16"/>
      <c r="M112" s="16"/>
      <c r="N112" s="16"/>
      <c r="O112" s="7"/>
    </row>
    <row r="113" spans="1:15" x14ac:dyDescent="0.35">
      <c r="A113" s="7" t="str">
        <f t="shared" si="9"/>
        <v>J-112</v>
      </c>
      <c r="B113" s="7"/>
      <c r="C113" s="7"/>
      <c r="D113" s="7"/>
      <c r="E113" s="7"/>
      <c r="F113" s="16"/>
      <c r="G113" s="16"/>
      <c r="H113" s="16" t="str">
        <f t="shared" si="10"/>
        <v/>
      </c>
      <c r="I113" s="17" t="str">
        <f t="shared" si="11"/>
        <v/>
      </c>
      <c r="J113" s="7"/>
      <c r="K113" s="7"/>
      <c r="L113" s="16"/>
      <c r="M113" s="16"/>
      <c r="N113" s="16"/>
      <c r="O113" s="7"/>
    </row>
    <row r="114" spans="1:15" x14ac:dyDescent="0.35">
      <c r="A114" s="7" t="str">
        <f t="shared" si="9"/>
        <v>J-113</v>
      </c>
      <c r="B114" s="7"/>
      <c r="C114" s="7"/>
      <c r="D114" s="7"/>
      <c r="E114" s="7"/>
      <c r="F114" s="16"/>
      <c r="G114" s="16"/>
      <c r="H114" s="16" t="str">
        <f t="shared" si="10"/>
        <v/>
      </c>
      <c r="I114" s="17" t="str">
        <f t="shared" si="11"/>
        <v/>
      </c>
      <c r="J114" s="7"/>
      <c r="K114" s="7"/>
      <c r="L114" s="16"/>
      <c r="M114" s="16"/>
      <c r="N114" s="16"/>
      <c r="O114" s="7"/>
    </row>
    <row r="115" spans="1:15" x14ac:dyDescent="0.35">
      <c r="A115" s="7" t="str">
        <f t="shared" si="9"/>
        <v>J-114</v>
      </c>
      <c r="B115" s="7"/>
      <c r="C115" s="7"/>
      <c r="D115" s="7"/>
      <c r="E115" s="7"/>
      <c r="F115" s="16"/>
      <c r="G115" s="16"/>
      <c r="H115" s="16" t="str">
        <f t="shared" si="10"/>
        <v/>
      </c>
      <c r="I115" s="17" t="str">
        <f t="shared" si="11"/>
        <v/>
      </c>
      <c r="J115" s="7"/>
      <c r="K115" s="7"/>
      <c r="L115" s="16"/>
      <c r="M115" s="16"/>
      <c r="N115" s="16"/>
      <c r="O115" s="7"/>
    </row>
    <row r="116" spans="1:15" x14ac:dyDescent="0.35">
      <c r="A116" s="7" t="str">
        <f t="shared" si="9"/>
        <v>J-115</v>
      </c>
      <c r="B116" s="7"/>
      <c r="C116" s="7"/>
      <c r="D116" s="7"/>
      <c r="E116" s="7"/>
      <c r="F116" s="16"/>
      <c r="G116" s="16"/>
      <c r="H116" s="16" t="str">
        <f t="shared" si="10"/>
        <v/>
      </c>
      <c r="I116" s="17" t="str">
        <f t="shared" si="11"/>
        <v/>
      </c>
      <c r="J116" s="7"/>
      <c r="K116" s="7"/>
      <c r="L116" s="16"/>
      <c r="M116" s="16"/>
      <c r="N116" s="16"/>
      <c r="O116" s="7"/>
    </row>
    <row r="117" spans="1:15" x14ac:dyDescent="0.35">
      <c r="A117" s="7" t="str">
        <f t="shared" si="9"/>
        <v>J-116</v>
      </c>
      <c r="B117" s="7"/>
      <c r="C117" s="7"/>
      <c r="D117" s="7"/>
      <c r="E117" s="7"/>
      <c r="F117" s="16"/>
      <c r="G117" s="16"/>
      <c r="H117" s="16" t="str">
        <f t="shared" si="10"/>
        <v/>
      </c>
      <c r="I117" s="17" t="str">
        <f t="shared" si="11"/>
        <v/>
      </c>
      <c r="J117" s="7"/>
      <c r="K117" s="7"/>
      <c r="L117" s="16"/>
      <c r="M117" s="16"/>
      <c r="N117" s="16"/>
      <c r="O117" s="7"/>
    </row>
    <row r="118" spans="1:15" x14ac:dyDescent="0.35">
      <c r="A118" s="7" t="str">
        <f t="shared" si="9"/>
        <v>J-117</v>
      </c>
      <c r="B118" s="7"/>
      <c r="C118" s="7"/>
      <c r="D118" s="7"/>
      <c r="E118" s="7"/>
      <c r="F118" s="16"/>
      <c r="G118" s="16"/>
      <c r="H118" s="16" t="str">
        <f t="shared" si="10"/>
        <v/>
      </c>
      <c r="I118" s="17" t="str">
        <f t="shared" si="11"/>
        <v/>
      </c>
      <c r="J118" s="7"/>
      <c r="K118" s="7"/>
      <c r="L118" s="16"/>
      <c r="M118" s="16"/>
      <c r="N118" s="16"/>
      <c r="O118" s="7"/>
    </row>
    <row r="119" spans="1:15" x14ac:dyDescent="0.35">
      <c r="A119" s="7" t="str">
        <f t="shared" si="9"/>
        <v>J-118</v>
      </c>
      <c r="B119" s="7"/>
      <c r="C119" s="7"/>
      <c r="D119" s="7"/>
      <c r="E119" s="7"/>
      <c r="F119" s="16"/>
      <c r="G119" s="16"/>
      <c r="H119" s="16" t="str">
        <f t="shared" si="10"/>
        <v/>
      </c>
      <c r="I119" s="17" t="str">
        <f t="shared" si="11"/>
        <v/>
      </c>
      <c r="J119" s="7"/>
      <c r="K119" s="7"/>
      <c r="L119" s="16"/>
      <c r="M119" s="16"/>
      <c r="N119" s="16"/>
      <c r="O119" s="7"/>
    </row>
    <row r="120" spans="1:15" x14ac:dyDescent="0.35">
      <c r="A120" s="7" t="str">
        <f t="shared" si="9"/>
        <v>J-119</v>
      </c>
      <c r="B120" s="7"/>
      <c r="C120" s="7"/>
      <c r="D120" s="7"/>
      <c r="E120" s="7"/>
      <c r="F120" s="16"/>
      <c r="G120" s="16"/>
      <c r="H120" s="16" t="str">
        <f t="shared" si="10"/>
        <v/>
      </c>
      <c r="I120" s="17" t="str">
        <f t="shared" si="11"/>
        <v/>
      </c>
      <c r="J120" s="7"/>
      <c r="K120" s="7"/>
      <c r="L120" s="16"/>
      <c r="M120" s="16"/>
      <c r="N120" s="16"/>
      <c r="O120" s="7"/>
    </row>
    <row r="121" spans="1:15" x14ac:dyDescent="0.35">
      <c r="A121" s="7" t="str">
        <f t="shared" si="9"/>
        <v>J-120</v>
      </c>
      <c r="B121" s="7"/>
      <c r="C121" s="7"/>
      <c r="D121" s="7"/>
      <c r="E121" s="7"/>
      <c r="F121" s="16"/>
      <c r="G121" s="16"/>
      <c r="H121" s="16" t="str">
        <f t="shared" si="10"/>
        <v/>
      </c>
      <c r="I121" s="17" t="str">
        <f t="shared" si="11"/>
        <v/>
      </c>
      <c r="J121" s="7"/>
      <c r="K121" s="7"/>
      <c r="L121" s="16"/>
      <c r="M121" s="16"/>
      <c r="N121" s="16"/>
      <c r="O121" s="7"/>
    </row>
    <row r="122" spans="1:15" x14ac:dyDescent="0.35">
      <c r="A122" s="7" t="str">
        <f t="shared" si="9"/>
        <v>J-121</v>
      </c>
      <c r="B122" s="7"/>
      <c r="C122" s="7"/>
      <c r="D122" s="7"/>
      <c r="E122" s="7"/>
      <c r="F122" s="16"/>
      <c r="G122" s="16"/>
      <c r="H122" s="16" t="str">
        <f t="shared" si="10"/>
        <v/>
      </c>
      <c r="I122" s="17" t="str">
        <f t="shared" si="11"/>
        <v/>
      </c>
      <c r="J122" s="7"/>
      <c r="K122" s="7"/>
      <c r="L122" s="16"/>
      <c r="M122" s="16"/>
      <c r="N122" s="16"/>
      <c r="O122" s="7"/>
    </row>
    <row r="123" spans="1:15" x14ac:dyDescent="0.35">
      <c r="A123" s="7" t="str">
        <f t="shared" si="9"/>
        <v>J-122</v>
      </c>
      <c r="B123" s="7"/>
      <c r="C123" s="7"/>
      <c r="D123" s="7"/>
      <c r="E123" s="7"/>
      <c r="F123" s="16"/>
      <c r="G123" s="16"/>
      <c r="H123" s="16" t="str">
        <f t="shared" si="10"/>
        <v/>
      </c>
      <c r="I123" s="17" t="str">
        <f t="shared" si="11"/>
        <v/>
      </c>
      <c r="J123" s="7"/>
      <c r="K123" s="7"/>
      <c r="L123" s="16"/>
      <c r="M123" s="16"/>
      <c r="N123" s="16"/>
      <c r="O123" s="7"/>
    </row>
    <row r="124" spans="1:15" x14ac:dyDescent="0.35">
      <c r="A124" s="7" t="str">
        <f t="shared" si="9"/>
        <v>J-123</v>
      </c>
      <c r="B124" s="7"/>
      <c r="C124" s="7"/>
      <c r="D124" s="7"/>
      <c r="E124" s="7"/>
      <c r="F124" s="16"/>
      <c r="G124" s="16"/>
      <c r="H124" s="16" t="str">
        <f t="shared" si="10"/>
        <v/>
      </c>
      <c r="I124" s="17" t="str">
        <f t="shared" si="11"/>
        <v/>
      </c>
      <c r="J124" s="7"/>
      <c r="K124" s="7"/>
      <c r="L124" s="16"/>
      <c r="M124" s="16"/>
      <c r="N124" s="16"/>
      <c r="O124" s="7"/>
    </row>
    <row r="125" spans="1:15" x14ac:dyDescent="0.35">
      <c r="A125" s="7" t="str">
        <f t="shared" si="9"/>
        <v>J-124</v>
      </c>
      <c r="B125" s="7"/>
      <c r="C125" s="7"/>
      <c r="D125" s="7"/>
      <c r="E125" s="7"/>
      <c r="F125" s="16"/>
      <c r="G125" s="16"/>
      <c r="H125" s="16" t="str">
        <f t="shared" si="10"/>
        <v/>
      </c>
      <c r="I125" s="17" t="str">
        <f t="shared" si="11"/>
        <v/>
      </c>
      <c r="J125" s="7"/>
      <c r="K125" s="7"/>
      <c r="L125" s="16"/>
      <c r="M125" s="16"/>
      <c r="N125" s="16"/>
      <c r="O125" s="7"/>
    </row>
    <row r="126" spans="1:15" x14ac:dyDescent="0.35">
      <c r="A126" s="7" t="str">
        <f t="shared" si="9"/>
        <v>J-125</v>
      </c>
      <c r="B126" s="7"/>
      <c r="C126" s="7"/>
      <c r="D126" s="7"/>
      <c r="E126" s="7"/>
      <c r="F126" s="16"/>
      <c r="G126" s="16"/>
      <c r="H126" s="16" t="str">
        <f t="shared" si="10"/>
        <v/>
      </c>
      <c r="I126" s="17" t="str">
        <f t="shared" si="11"/>
        <v/>
      </c>
      <c r="J126" s="7"/>
      <c r="K126" s="7"/>
      <c r="L126" s="16"/>
      <c r="M126" s="16"/>
      <c r="N126" s="16"/>
      <c r="O126" s="7"/>
    </row>
    <row r="127" spans="1:15" x14ac:dyDescent="0.35">
      <c r="A127" s="7" t="str">
        <f t="shared" si="9"/>
        <v>J-126</v>
      </c>
      <c r="B127" s="7"/>
      <c r="C127" s="7"/>
      <c r="D127" s="7"/>
      <c r="E127" s="7"/>
      <c r="F127" s="16"/>
      <c r="G127" s="16"/>
      <c r="H127" s="16" t="str">
        <f t="shared" si="10"/>
        <v/>
      </c>
      <c r="I127" s="17" t="str">
        <f t="shared" si="11"/>
        <v/>
      </c>
      <c r="J127" s="7"/>
      <c r="K127" s="7"/>
      <c r="L127" s="16"/>
      <c r="M127" s="16"/>
      <c r="N127" s="16"/>
      <c r="O127" s="7"/>
    </row>
    <row r="128" spans="1:15" x14ac:dyDescent="0.35">
      <c r="A128" s="7" t="str">
        <f t="shared" si="9"/>
        <v>J-127</v>
      </c>
      <c r="B128" s="7"/>
      <c r="C128" s="7"/>
      <c r="D128" s="7"/>
      <c r="E128" s="7"/>
      <c r="F128" s="16"/>
      <c r="G128" s="16"/>
      <c r="H128" s="16" t="str">
        <f t="shared" si="10"/>
        <v/>
      </c>
      <c r="I128" s="17" t="str">
        <f t="shared" si="11"/>
        <v/>
      </c>
      <c r="J128" s="7"/>
      <c r="K128" s="7"/>
      <c r="L128" s="16"/>
      <c r="M128" s="16"/>
      <c r="N128" s="16"/>
      <c r="O128" s="7"/>
    </row>
    <row r="129" spans="1:15" x14ac:dyDescent="0.35">
      <c r="A129" s="7" t="str">
        <f t="shared" si="9"/>
        <v>J-128</v>
      </c>
      <c r="B129" s="7"/>
      <c r="C129" s="7"/>
      <c r="D129" s="7"/>
      <c r="E129" s="7"/>
      <c r="F129" s="16"/>
      <c r="G129" s="16"/>
      <c r="H129" s="16" t="str">
        <f t="shared" si="10"/>
        <v/>
      </c>
      <c r="I129" s="17" t="str">
        <f t="shared" si="11"/>
        <v/>
      </c>
      <c r="J129" s="7"/>
      <c r="K129" s="7"/>
      <c r="L129" s="16"/>
      <c r="M129" s="16"/>
      <c r="N129" s="16"/>
      <c r="O129" s="7"/>
    </row>
    <row r="130" spans="1:15" x14ac:dyDescent="0.35">
      <c r="A130" s="7" t="str">
        <f t="shared" si="9"/>
        <v>J-129</v>
      </c>
      <c r="B130" s="7"/>
      <c r="C130" s="7"/>
      <c r="D130" s="7"/>
      <c r="E130" s="7"/>
      <c r="F130" s="16"/>
      <c r="G130" s="16"/>
      <c r="H130" s="16" t="str">
        <f t="shared" si="10"/>
        <v/>
      </c>
      <c r="I130" s="17" t="str">
        <f t="shared" si="11"/>
        <v/>
      </c>
      <c r="J130" s="7"/>
      <c r="K130" s="7"/>
      <c r="L130" s="16"/>
      <c r="M130" s="16"/>
      <c r="N130" s="16"/>
      <c r="O130" s="7"/>
    </row>
    <row r="131" spans="1:15" x14ac:dyDescent="0.35">
      <c r="A131" s="7" t="str">
        <f t="shared" ref="A131:A162" si="12">"J-"&amp;TEXT(ROW()-1,"000")</f>
        <v>J-130</v>
      </c>
      <c r="B131" s="7"/>
      <c r="C131" s="7"/>
      <c r="D131" s="7"/>
      <c r="E131" s="7"/>
      <c r="F131" s="16"/>
      <c r="G131" s="16"/>
      <c r="H131" s="16" t="str">
        <f t="shared" ref="H131:H162" si="13">IF(OR(L131="",M131=""),"",L131-M131)</f>
        <v/>
      </c>
      <c r="I131" s="17" t="str">
        <f t="shared" ref="I131:I162" si="14">IFERROR(N131/L131,"")</f>
        <v/>
      </c>
      <c r="J131" s="7"/>
      <c r="K131" s="7"/>
      <c r="L131" s="16"/>
      <c r="M131" s="16"/>
      <c r="N131" s="16"/>
      <c r="O131" s="7"/>
    </row>
    <row r="132" spans="1:15" x14ac:dyDescent="0.35">
      <c r="A132" s="7" t="str">
        <f t="shared" si="12"/>
        <v>J-131</v>
      </c>
      <c r="B132" s="7"/>
      <c r="C132" s="7"/>
      <c r="D132" s="7"/>
      <c r="E132" s="7"/>
      <c r="F132" s="16"/>
      <c r="G132" s="16"/>
      <c r="H132" s="16" t="str">
        <f t="shared" si="13"/>
        <v/>
      </c>
      <c r="I132" s="17" t="str">
        <f t="shared" si="14"/>
        <v/>
      </c>
      <c r="J132" s="7"/>
      <c r="K132" s="7"/>
      <c r="L132" s="16"/>
      <c r="M132" s="16"/>
      <c r="N132" s="16"/>
      <c r="O132" s="7"/>
    </row>
    <row r="133" spans="1:15" x14ac:dyDescent="0.35">
      <c r="A133" s="7" t="str">
        <f t="shared" si="12"/>
        <v>J-132</v>
      </c>
      <c r="B133" s="7"/>
      <c r="C133" s="7"/>
      <c r="D133" s="7"/>
      <c r="E133" s="7"/>
      <c r="F133" s="16"/>
      <c r="G133" s="16"/>
      <c r="H133" s="16" t="str">
        <f t="shared" si="13"/>
        <v/>
      </c>
      <c r="I133" s="17" t="str">
        <f t="shared" si="14"/>
        <v/>
      </c>
      <c r="J133" s="7"/>
      <c r="K133" s="7"/>
      <c r="L133" s="16"/>
      <c r="M133" s="16"/>
      <c r="N133" s="16"/>
      <c r="O133" s="7"/>
    </row>
    <row r="134" spans="1:15" x14ac:dyDescent="0.35">
      <c r="A134" s="7" t="str">
        <f t="shared" si="12"/>
        <v>J-133</v>
      </c>
      <c r="B134" s="7"/>
      <c r="C134" s="7"/>
      <c r="D134" s="7"/>
      <c r="E134" s="7"/>
      <c r="F134" s="16"/>
      <c r="G134" s="16"/>
      <c r="H134" s="16" t="str">
        <f t="shared" si="13"/>
        <v/>
      </c>
      <c r="I134" s="17" t="str">
        <f t="shared" si="14"/>
        <v/>
      </c>
      <c r="J134" s="7"/>
      <c r="K134" s="7"/>
      <c r="L134" s="16"/>
      <c r="M134" s="16"/>
      <c r="N134" s="16"/>
      <c r="O134" s="7"/>
    </row>
    <row r="135" spans="1:15" x14ac:dyDescent="0.35">
      <c r="A135" s="7" t="str">
        <f t="shared" si="12"/>
        <v>J-134</v>
      </c>
      <c r="B135" s="7"/>
      <c r="C135" s="7"/>
      <c r="D135" s="7"/>
      <c r="E135" s="7"/>
      <c r="F135" s="16"/>
      <c r="G135" s="16"/>
      <c r="H135" s="16" t="str">
        <f t="shared" si="13"/>
        <v/>
      </c>
      <c r="I135" s="17" t="str">
        <f t="shared" si="14"/>
        <v/>
      </c>
      <c r="J135" s="7"/>
      <c r="K135" s="7"/>
      <c r="L135" s="16"/>
      <c r="M135" s="16"/>
      <c r="N135" s="16"/>
      <c r="O135" s="7"/>
    </row>
    <row r="136" spans="1:15" x14ac:dyDescent="0.35">
      <c r="A136" s="7" t="str">
        <f t="shared" si="12"/>
        <v>J-135</v>
      </c>
      <c r="B136" s="7"/>
      <c r="C136" s="7"/>
      <c r="D136" s="7"/>
      <c r="E136" s="7"/>
      <c r="F136" s="16"/>
      <c r="G136" s="16"/>
      <c r="H136" s="16" t="str">
        <f t="shared" si="13"/>
        <v/>
      </c>
      <c r="I136" s="17" t="str">
        <f t="shared" si="14"/>
        <v/>
      </c>
      <c r="J136" s="7"/>
      <c r="K136" s="7"/>
      <c r="L136" s="16"/>
      <c r="M136" s="16"/>
      <c r="N136" s="16"/>
      <c r="O136" s="7"/>
    </row>
    <row r="137" spans="1:15" x14ac:dyDescent="0.35">
      <c r="A137" s="7" t="str">
        <f t="shared" si="12"/>
        <v>J-136</v>
      </c>
      <c r="B137" s="7"/>
      <c r="C137" s="7"/>
      <c r="D137" s="7"/>
      <c r="E137" s="7"/>
      <c r="F137" s="16"/>
      <c r="G137" s="16"/>
      <c r="H137" s="16" t="str">
        <f t="shared" si="13"/>
        <v/>
      </c>
      <c r="I137" s="17" t="str">
        <f t="shared" si="14"/>
        <v/>
      </c>
      <c r="J137" s="7"/>
      <c r="K137" s="7"/>
      <c r="L137" s="16"/>
      <c r="M137" s="16"/>
      <c r="N137" s="16"/>
      <c r="O137" s="7"/>
    </row>
    <row r="138" spans="1:15" x14ac:dyDescent="0.35">
      <c r="A138" s="7" t="str">
        <f t="shared" si="12"/>
        <v>J-137</v>
      </c>
      <c r="B138" s="7"/>
      <c r="C138" s="7"/>
      <c r="D138" s="7"/>
      <c r="E138" s="7"/>
      <c r="F138" s="16"/>
      <c r="G138" s="16"/>
      <c r="H138" s="16" t="str">
        <f t="shared" si="13"/>
        <v/>
      </c>
      <c r="I138" s="17" t="str">
        <f t="shared" si="14"/>
        <v/>
      </c>
      <c r="J138" s="7"/>
      <c r="K138" s="7"/>
      <c r="L138" s="16"/>
      <c r="M138" s="16"/>
      <c r="N138" s="16"/>
      <c r="O138" s="7"/>
    </row>
    <row r="139" spans="1:15" x14ac:dyDescent="0.35">
      <c r="A139" s="7" t="str">
        <f t="shared" si="12"/>
        <v>J-138</v>
      </c>
      <c r="B139" s="7"/>
      <c r="C139" s="7"/>
      <c r="D139" s="7"/>
      <c r="E139" s="7"/>
      <c r="F139" s="16"/>
      <c r="G139" s="16"/>
      <c r="H139" s="16" t="str">
        <f t="shared" si="13"/>
        <v/>
      </c>
      <c r="I139" s="17" t="str">
        <f t="shared" si="14"/>
        <v/>
      </c>
      <c r="J139" s="7"/>
      <c r="K139" s="7"/>
      <c r="L139" s="16"/>
      <c r="M139" s="16"/>
      <c r="N139" s="16"/>
      <c r="O139" s="7"/>
    </row>
    <row r="140" spans="1:15" x14ac:dyDescent="0.35">
      <c r="A140" s="7" t="str">
        <f t="shared" si="12"/>
        <v>J-139</v>
      </c>
      <c r="B140" s="7"/>
      <c r="C140" s="7"/>
      <c r="D140" s="7"/>
      <c r="E140" s="7"/>
      <c r="F140" s="16"/>
      <c r="G140" s="16"/>
      <c r="H140" s="16" t="str">
        <f t="shared" si="13"/>
        <v/>
      </c>
      <c r="I140" s="17" t="str">
        <f t="shared" si="14"/>
        <v/>
      </c>
      <c r="J140" s="7"/>
      <c r="K140" s="7"/>
      <c r="L140" s="16"/>
      <c r="M140" s="16"/>
      <c r="N140" s="16"/>
      <c r="O140" s="7"/>
    </row>
    <row r="141" spans="1:15" x14ac:dyDescent="0.35">
      <c r="A141" s="7" t="str">
        <f t="shared" si="12"/>
        <v>J-140</v>
      </c>
      <c r="B141" s="7"/>
      <c r="C141" s="7"/>
      <c r="D141" s="7"/>
      <c r="E141" s="7"/>
      <c r="F141" s="16"/>
      <c r="G141" s="16"/>
      <c r="H141" s="16" t="str">
        <f t="shared" si="13"/>
        <v/>
      </c>
      <c r="I141" s="17" t="str">
        <f t="shared" si="14"/>
        <v/>
      </c>
      <c r="J141" s="7"/>
      <c r="K141" s="7"/>
      <c r="L141" s="16"/>
      <c r="M141" s="16"/>
      <c r="N141" s="16"/>
      <c r="O141" s="7"/>
    </row>
    <row r="142" spans="1:15" x14ac:dyDescent="0.35">
      <c r="A142" s="7" t="str">
        <f t="shared" si="12"/>
        <v>J-141</v>
      </c>
      <c r="B142" s="7"/>
      <c r="C142" s="7"/>
      <c r="D142" s="7"/>
      <c r="E142" s="7"/>
      <c r="F142" s="16"/>
      <c r="G142" s="16"/>
      <c r="H142" s="16" t="str">
        <f t="shared" si="13"/>
        <v/>
      </c>
      <c r="I142" s="17" t="str">
        <f t="shared" si="14"/>
        <v/>
      </c>
      <c r="J142" s="7"/>
      <c r="K142" s="7"/>
      <c r="L142" s="16"/>
      <c r="M142" s="16"/>
      <c r="N142" s="16"/>
      <c r="O142" s="7"/>
    </row>
    <row r="143" spans="1:15" x14ac:dyDescent="0.35">
      <c r="A143" s="7" t="str">
        <f t="shared" si="12"/>
        <v>J-142</v>
      </c>
      <c r="B143" s="7"/>
      <c r="C143" s="7"/>
      <c r="D143" s="7"/>
      <c r="E143" s="7"/>
      <c r="F143" s="16"/>
      <c r="G143" s="16"/>
      <c r="H143" s="16" t="str">
        <f t="shared" si="13"/>
        <v/>
      </c>
      <c r="I143" s="17" t="str">
        <f t="shared" si="14"/>
        <v/>
      </c>
      <c r="J143" s="7"/>
      <c r="K143" s="7"/>
      <c r="L143" s="16"/>
      <c r="M143" s="16"/>
      <c r="N143" s="16"/>
      <c r="O143" s="7"/>
    </row>
    <row r="144" spans="1:15" x14ac:dyDescent="0.35">
      <c r="A144" s="7" t="str">
        <f t="shared" si="12"/>
        <v>J-143</v>
      </c>
      <c r="B144" s="7"/>
      <c r="C144" s="7"/>
      <c r="D144" s="7"/>
      <c r="E144" s="7"/>
      <c r="F144" s="16"/>
      <c r="G144" s="16"/>
      <c r="H144" s="16" t="str">
        <f t="shared" si="13"/>
        <v/>
      </c>
      <c r="I144" s="17" t="str">
        <f t="shared" si="14"/>
        <v/>
      </c>
      <c r="J144" s="7"/>
      <c r="K144" s="7"/>
      <c r="L144" s="16"/>
      <c r="M144" s="16"/>
      <c r="N144" s="16"/>
      <c r="O144" s="7"/>
    </row>
    <row r="145" spans="1:15" x14ac:dyDescent="0.35">
      <c r="A145" s="7" t="str">
        <f t="shared" si="12"/>
        <v>J-144</v>
      </c>
      <c r="B145" s="7"/>
      <c r="C145" s="7"/>
      <c r="D145" s="7"/>
      <c r="E145" s="7"/>
      <c r="F145" s="16"/>
      <c r="G145" s="16"/>
      <c r="H145" s="16" t="str">
        <f t="shared" si="13"/>
        <v/>
      </c>
      <c r="I145" s="17" t="str">
        <f t="shared" si="14"/>
        <v/>
      </c>
      <c r="J145" s="7"/>
      <c r="K145" s="7"/>
      <c r="L145" s="16"/>
      <c r="M145" s="16"/>
      <c r="N145" s="16"/>
      <c r="O145" s="7"/>
    </row>
    <row r="146" spans="1:15" x14ac:dyDescent="0.35">
      <c r="A146" s="7" t="str">
        <f t="shared" si="12"/>
        <v>J-145</v>
      </c>
      <c r="B146" s="7"/>
      <c r="C146" s="7"/>
      <c r="D146" s="7"/>
      <c r="E146" s="7"/>
      <c r="F146" s="16"/>
      <c r="G146" s="16"/>
      <c r="H146" s="16" t="str">
        <f t="shared" si="13"/>
        <v/>
      </c>
      <c r="I146" s="17" t="str">
        <f t="shared" si="14"/>
        <v/>
      </c>
      <c r="J146" s="7"/>
      <c r="K146" s="7"/>
      <c r="L146" s="16"/>
      <c r="M146" s="16"/>
      <c r="N146" s="16"/>
      <c r="O146" s="7"/>
    </row>
    <row r="147" spans="1:15" x14ac:dyDescent="0.35">
      <c r="A147" s="7" t="str">
        <f t="shared" si="12"/>
        <v>J-146</v>
      </c>
      <c r="B147" s="7"/>
      <c r="C147" s="7"/>
      <c r="D147" s="7"/>
      <c r="E147" s="7"/>
      <c r="F147" s="16"/>
      <c r="G147" s="16"/>
      <c r="H147" s="16" t="str">
        <f t="shared" si="13"/>
        <v/>
      </c>
      <c r="I147" s="17" t="str">
        <f t="shared" si="14"/>
        <v/>
      </c>
      <c r="J147" s="7"/>
      <c r="K147" s="7"/>
      <c r="L147" s="16"/>
      <c r="M147" s="16"/>
      <c r="N147" s="16"/>
      <c r="O147" s="7"/>
    </row>
    <row r="148" spans="1:15" x14ac:dyDescent="0.35">
      <c r="A148" s="7" t="str">
        <f t="shared" si="12"/>
        <v>J-147</v>
      </c>
      <c r="B148" s="7"/>
      <c r="C148" s="7"/>
      <c r="D148" s="7"/>
      <c r="E148" s="7"/>
      <c r="F148" s="16"/>
      <c r="G148" s="16"/>
      <c r="H148" s="16" t="str">
        <f t="shared" si="13"/>
        <v/>
      </c>
      <c r="I148" s="17" t="str">
        <f t="shared" si="14"/>
        <v/>
      </c>
      <c r="J148" s="7"/>
      <c r="K148" s="7"/>
      <c r="L148" s="16"/>
      <c r="M148" s="16"/>
      <c r="N148" s="16"/>
      <c r="O148" s="7"/>
    </row>
    <row r="149" spans="1:15" x14ac:dyDescent="0.35">
      <c r="A149" s="7" t="str">
        <f t="shared" si="12"/>
        <v>J-148</v>
      </c>
      <c r="B149" s="7"/>
      <c r="C149" s="7"/>
      <c r="D149" s="7"/>
      <c r="E149" s="7"/>
      <c r="F149" s="16"/>
      <c r="G149" s="16"/>
      <c r="H149" s="16" t="str">
        <f t="shared" si="13"/>
        <v/>
      </c>
      <c r="I149" s="17" t="str">
        <f t="shared" si="14"/>
        <v/>
      </c>
      <c r="J149" s="7"/>
      <c r="K149" s="7"/>
      <c r="L149" s="16"/>
      <c r="M149" s="16"/>
      <c r="N149" s="16"/>
      <c r="O149" s="7"/>
    </row>
    <row r="150" spans="1:15" x14ac:dyDescent="0.35">
      <c r="A150" s="7" t="str">
        <f t="shared" si="12"/>
        <v>J-149</v>
      </c>
      <c r="B150" s="7"/>
      <c r="C150" s="7"/>
      <c r="D150" s="7"/>
      <c r="E150" s="7"/>
      <c r="F150" s="16"/>
      <c r="G150" s="16"/>
      <c r="H150" s="16" t="str">
        <f t="shared" si="13"/>
        <v/>
      </c>
      <c r="I150" s="17" t="str">
        <f t="shared" si="14"/>
        <v/>
      </c>
      <c r="J150" s="7"/>
      <c r="K150" s="7"/>
      <c r="L150" s="16"/>
      <c r="M150" s="16"/>
      <c r="N150" s="16"/>
      <c r="O150" s="7"/>
    </row>
    <row r="151" spans="1:15" x14ac:dyDescent="0.35">
      <c r="A151" s="7" t="str">
        <f t="shared" si="12"/>
        <v>J-150</v>
      </c>
      <c r="B151" s="7"/>
      <c r="C151" s="7"/>
      <c r="D151" s="7"/>
      <c r="E151" s="7"/>
      <c r="F151" s="16"/>
      <c r="G151" s="16"/>
      <c r="H151" s="16" t="str">
        <f t="shared" si="13"/>
        <v/>
      </c>
      <c r="I151" s="17" t="str">
        <f t="shared" si="14"/>
        <v/>
      </c>
      <c r="J151" s="7"/>
      <c r="K151" s="7"/>
      <c r="L151" s="16"/>
      <c r="M151" s="16"/>
      <c r="N151" s="16"/>
      <c r="O151" s="7"/>
    </row>
    <row r="152" spans="1:15" x14ac:dyDescent="0.35">
      <c r="A152" s="7" t="str">
        <f t="shared" si="12"/>
        <v>J-151</v>
      </c>
      <c r="B152" s="7"/>
      <c r="C152" s="7"/>
      <c r="D152" s="7"/>
      <c r="E152" s="7"/>
      <c r="F152" s="16"/>
      <c r="G152" s="16"/>
      <c r="H152" s="16" t="str">
        <f t="shared" si="13"/>
        <v/>
      </c>
      <c r="I152" s="17" t="str">
        <f t="shared" si="14"/>
        <v/>
      </c>
      <c r="J152" s="7"/>
      <c r="K152" s="7"/>
      <c r="L152" s="16"/>
      <c r="M152" s="16"/>
      <c r="N152" s="16"/>
      <c r="O152" s="7"/>
    </row>
    <row r="153" spans="1:15" x14ac:dyDescent="0.35">
      <c r="A153" s="7" t="str">
        <f t="shared" si="12"/>
        <v>J-152</v>
      </c>
      <c r="B153" s="7"/>
      <c r="C153" s="7"/>
      <c r="D153" s="7"/>
      <c r="E153" s="7"/>
      <c r="F153" s="16"/>
      <c r="G153" s="16"/>
      <c r="H153" s="16" t="str">
        <f t="shared" si="13"/>
        <v/>
      </c>
      <c r="I153" s="17" t="str">
        <f t="shared" si="14"/>
        <v/>
      </c>
      <c r="J153" s="7"/>
      <c r="K153" s="7"/>
      <c r="L153" s="16"/>
      <c r="M153" s="16"/>
      <c r="N153" s="16"/>
      <c r="O153" s="7"/>
    </row>
    <row r="154" spans="1:15" x14ac:dyDescent="0.35">
      <c r="A154" s="7" t="str">
        <f t="shared" si="12"/>
        <v>J-153</v>
      </c>
      <c r="B154" s="7"/>
      <c r="C154" s="7"/>
      <c r="D154" s="7"/>
      <c r="E154" s="7"/>
      <c r="F154" s="16"/>
      <c r="G154" s="16"/>
      <c r="H154" s="16" t="str">
        <f t="shared" si="13"/>
        <v/>
      </c>
      <c r="I154" s="17" t="str">
        <f t="shared" si="14"/>
        <v/>
      </c>
      <c r="J154" s="7"/>
      <c r="K154" s="7"/>
      <c r="L154" s="16"/>
      <c r="M154" s="16"/>
      <c r="N154" s="16"/>
      <c r="O154" s="7"/>
    </row>
    <row r="155" spans="1:15" x14ac:dyDescent="0.35">
      <c r="A155" s="7" t="str">
        <f t="shared" si="12"/>
        <v>J-154</v>
      </c>
      <c r="B155" s="7"/>
      <c r="C155" s="7"/>
      <c r="D155" s="7"/>
      <c r="E155" s="7"/>
      <c r="F155" s="16"/>
      <c r="G155" s="16"/>
      <c r="H155" s="16" t="str">
        <f t="shared" si="13"/>
        <v/>
      </c>
      <c r="I155" s="17" t="str">
        <f t="shared" si="14"/>
        <v/>
      </c>
      <c r="J155" s="7"/>
      <c r="K155" s="7"/>
      <c r="L155" s="16"/>
      <c r="M155" s="16"/>
      <c r="N155" s="16"/>
      <c r="O155" s="7"/>
    </row>
    <row r="156" spans="1:15" x14ac:dyDescent="0.35">
      <c r="A156" s="7" t="str">
        <f t="shared" si="12"/>
        <v>J-155</v>
      </c>
      <c r="B156" s="7"/>
      <c r="C156" s="7"/>
      <c r="D156" s="7"/>
      <c r="E156" s="7"/>
      <c r="F156" s="16"/>
      <c r="G156" s="16"/>
      <c r="H156" s="16" t="str">
        <f t="shared" si="13"/>
        <v/>
      </c>
      <c r="I156" s="17" t="str">
        <f t="shared" si="14"/>
        <v/>
      </c>
      <c r="J156" s="7"/>
      <c r="K156" s="7"/>
      <c r="L156" s="16"/>
      <c r="M156" s="16"/>
      <c r="N156" s="16"/>
      <c r="O156" s="7"/>
    </row>
    <row r="157" spans="1:15" x14ac:dyDescent="0.35">
      <c r="A157" s="7" t="str">
        <f t="shared" si="12"/>
        <v>J-156</v>
      </c>
      <c r="B157" s="7"/>
      <c r="C157" s="7"/>
      <c r="D157" s="7"/>
      <c r="E157" s="7"/>
      <c r="F157" s="16"/>
      <c r="G157" s="16"/>
      <c r="H157" s="16" t="str">
        <f t="shared" si="13"/>
        <v/>
      </c>
      <c r="I157" s="17" t="str">
        <f t="shared" si="14"/>
        <v/>
      </c>
      <c r="J157" s="7"/>
      <c r="K157" s="7"/>
      <c r="L157" s="16"/>
      <c r="M157" s="16"/>
      <c r="N157" s="16"/>
      <c r="O157" s="7"/>
    </row>
    <row r="158" spans="1:15" x14ac:dyDescent="0.35">
      <c r="A158" s="7" t="str">
        <f t="shared" si="12"/>
        <v>J-157</v>
      </c>
      <c r="B158" s="7"/>
      <c r="C158" s="7"/>
      <c r="D158" s="7"/>
      <c r="E158" s="7"/>
      <c r="F158" s="16"/>
      <c r="G158" s="16"/>
      <c r="H158" s="16" t="str">
        <f t="shared" si="13"/>
        <v/>
      </c>
      <c r="I158" s="17" t="str">
        <f t="shared" si="14"/>
        <v/>
      </c>
      <c r="J158" s="7"/>
      <c r="K158" s="7"/>
      <c r="L158" s="16"/>
      <c r="M158" s="16"/>
      <c r="N158" s="16"/>
      <c r="O158" s="7"/>
    </row>
    <row r="159" spans="1:15" x14ac:dyDescent="0.35">
      <c r="A159" s="7" t="str">
        <f t="shared" si="12"/>
        <v>J-158</v>
      </c>
      <c r="B159" s="7"/>
      <c r="C159" s="7"/>
      <c r="D159" s="7"/>
      <c r="E159" s="7"/>
      <c r="F159" s="16"/>
      <c r="G159" s="16"/>
      <c r="H159" s="16" t="str">
        <f t="shared" si="13"/>
        <v/>
      </c>
      <c r="I159" s="17" t="str">
        <f t="shared" si="14"/>
        <v/>
      </c>
      <c r="J159" s="7"/>
      <c r="K159" s="7"/>
      <c r="L159" s="16"/>
      <c r="M159" s="16"/>
      <c r="N159" s="16"/>
      <c r="O159" s="7"/>
    </row>
    <row r="160" spans="1:15" x14ac:dyDescent="0.35">
      <c r="A160" s="7" t="str">
        <f t="shared" si="12"/>
        <v>J-159</v>
      </c>
      <c r="B160" s="7"/>
      <c r="C160" s="7"/>
      <c r="D160" s="7"/>
      <c r="E160" s="7"/>
      <c r="F160" s="16"/>
      <c r="G160" s="16"/>
      <c r="H160" s="16" t="str">
        <f t="shared" si="13"/>
        <v/>
      </c>
      <c r="I160" s="17" t="str">
        <f t="shared" si="14"/>
        <v/>
      </c>
      <c r="J160" s="7"/>
      <c r="K160" s="7"/>
      <c r="L160" s="16"/>
      <c r="M160" s="16"/>
      <c r="N160" s="16"/>
      <c r="O160" s="7"/>
    </row>
    <row r="161" spans="1:15" x14ac:dyDescent="0.35">
      <c r="A161" s="7" t="str">
        <f t="shared" si="12"/>
        <v>J-160</v>
      </c>
      <c r="B161" s="7"/>
      <c r="C161" s="7"/>
      <c r="D161" s="7"/>
      <c r="E161" s="7"/>
      <c r="F161" s="16"/>
      <c r="G161" s="16"/>
      <c r="H161" s="16" t="str">
        <f t="shared" si="13"/>
        <v/>
      </c>
      <c r="I161" s="17" t="str">
        <f t="shared" si="14"/>
        <v/>
      </c>
      <c r="J161" s="7"/>
      <c r="K161" s="7"/>
      <c r="L161" s="16"/>
      <c r="M161" s="16"/>
      <c r="N161" s="16"/>
      <c r="O161" s="7"/>
    </row>
    <row r="162" spans="1:15" x14ac:dyDescent="0.35">
      <c r="A162" s="7" t="str">
        <f t="shared" si="12"/>
        <v>J-161</v>
      </c>
      <c r="B162" s="7"/>
      <c r="C162" s="7"/>
      <c r="D162" s="7"/>
      <c r="E162" s="7"/>
      <c r="F162" s="16"/>
      <c r="G162" s="16"/>
      <c r="H162" s="16" t="str">
        <f t="shared" si="13"/>
        <v/>
      </c>
      <c r="I162" s="17" t="str">
        <f t="shared" si="14"/>
        <v/>
      </c>
      <c r="J162" s="7"/>
      <c r="K162" s="7"/>
      <c r="L162" s="16"/>
      <c r="M162" s="16"/>
      <c r="N162" s="16"/>
      <c r="O162" s="7"/>
    </row>
    <row r="163" spans="1:15" x14ac:dyDescent="0.35">
      <c r="A163" s="7" t="str">
        <f t="shared" ref="A163:A194" si="15">"J-"&amp;TEXT(ROW()-1,"000")</f>
        <v>J-162</v>
      </c>
      <c r="B163" s="7"/>
      <c r="C163" s="7"/>
      <c r="D163" s="7"/>
      <c r="E163" s="7"/>
      <c r="F163" s="16"/>
      <c r="G163" s="16"/>
      <c r="H163" s="16" t="str">
        <f t="shared" ref="H163:H194" si="16">IF(OR(L163="",M163=""),"",L163-M163)</f>
        <v/>
      </c>
      <c r="I163" s="17" t="str">
        <f t="shared" ref="I163:I194" si="17">IFERROR(N163/L163,"")</f>
        <v/>
      </c>
      <c r="J163" s="7"/>
      <c r="K163" s="7"/>
      <c r="L163" s="16"/>
      <c r="M163" s="16"/>
      <c r="N163" s="16"/>
      <c r="O163" s="7"/>
    </row>
    <row r="164" spans="1:15" x14ac:dyDescent="0.35">
      <c r="A164" s="7" t="str">
        <f t="shared" si="15"/>
        <v>J-163</v>
      </c>
      <c r="B164" s="7"/>
      <c r="C164" s="7"/>
      <c r="D164" s="7"/>
      <c r="E164" s="7"/>
      <c r="F164" s="16"/>
      <c r="G164" s="16"/>
      <c r="H164" s="16" t="str">
        <f t="shared" si="16"/>
        <v/>
      </c>
      <c r="I164" s="17" t="str">
        <f t="shared" si="17"/>
        <v/>
      </c>
      <c r="J164" s="7"/>
      <c r="K164" s="7"/>
      <c r="L164" s="16"/>
      <c r="M164" s="16"/>
      <c r="N164" s="16"/>
      <c r="O164" s="7"/>
    </row>
    <row r="165" spans="1:15" x14ac:dyDescent="0.35">
      <c r="A165" s="7" t="str">
        <f t="shared" si="15"/>
        <v>J-164</v>
      </c>
      <c r="B165" s="7"/>
      <c r="C165" s="7"/>
      <c r="D165" s="7"/>
      <c r="E165" s="7"/>
      <c r="F165" s="16"/>
      <c r="G165" s="16"/>
      <c r="H165" s="16" t="str">
        <f t="shared" si="16"/>
        <v/>
      </c>
      <c r="I165" s="17" t="str">
        <f t="shared" si="17"/>
        <v/>
      </c>
      <c r="J165" s="7"/>
      <c r="K165" s="7"/>
      <c r="L165" s="16"/>
      <c r="M165" s="16"/>
      <c r="N165" s="16"/>
      <c r="O165" s="7"/>
    </row>
    <row r="166" spans="1:15" x14ac:dyDescent="0.35">
      <c r="A166" s="7" t="str">
        <f t="shared" si="15"/>
        <v>J-165</v>
      </c>
      <c r="B166" s="7"/>
      <c r="C166" s="7"/>
      <c r="D166" s="7"/>
      <c r="E166" s="7"/>
      <c r="F166" s="16"/>
      <c r="G166" s="16"/>
      <c r="H166" s="16" t="str">
        <f t="shared" si="16"/>
        <v/>
      </c>
      <c r="I166" s="17" t="str">
        <f t="shared" si="17"/>
        <v/>
      </c>
      <c r="J166" s="7"/>
      <c r="K166" s="7"/>
      <c r="L166" s="16"/>
      <c r="M166" s="16"/>
      <c r="N166" s="16"/>
      <c r="O166" s="7"/>
    </row>
    <row r="167" spans="1:15" x14ac:dyDescent="0.35">
      <c r="A167" s="7" t="str">
        <f t="shared" si="15"/>
        <v>J-166</v>
      </c>
      <c r="B167" s="7"/>
      <c r="C167" s="7"/>
      <c r="D167" s="7"/>
      <c r="E167" s="7"/>
      <c r="F167" s="16"/>
      <c r="G167" s="16"/>
      <c r="H167" s="16" t="str">
        <f t="shared" si="16"/>
        <v/>
      </c>
      <c r="I167" s="17" t="str">
        <f t="shared" si="17"/>
        <v/>
      </c>
      <c r="J167" s="7"/>
      <c r="K167" s="7"/>
      <c r="L167" s="16"/>
      <c r="M167" s="16"/>
      <c r="N167" s="16"/>
      <c r="O167" s="7"/>
    </row>
    <row r="168" spans="1:15" x14ac:dyDescent="0.35">
      <c r="A168" s="7" t="str">
        <f t="shared" si="15"/>
        <v>J-167</v>
      </c>
      <c r="B168" s="7"/>
      <c r="C168" s="7"/>
      <c r="D168" s="7"/>
      <c r="E168" s="7"/>
      <c r="F168" s="16"/>
      <c r="G168" s="16"/>
      <c r="H168" s="16" t="str">
        <f t="shared" si="16"/>
        <v/>
      </c>
      <c r="I168" s="17" t="str">
        <f t="shared" si="17"/>
        <v/>
      </c>
      <c r="J168" s="7"/>
      <c r="K168" s="7"/>
      <c r="L168" s="16"/>
      <c r="M168" s="16"/>
      <c r="N168" s="16"/>
      <c r="O168" s="7"/>
    </row>
    <row r="169" spans="1:15" x14ac:dyDescent="0.35">
      <c r="A169" s="7" t="str">
        <f t="shared" si="15"/>
        <v>J-168</v>
      </c>
      <c r="B169" s="7"/>
      <c r="C169" s="7"/>
      <c r="D169" s="7"/>
      <c r="E169" s="7"/>
      <c r="F169" s="16"/>
      <c r="G169" s="16"/>
      <c r="H169" s="16" t="str">
        <f t="shared" si="16"/>
        <v/>
      </c>
      <c r="I169" s="17" t="str">
        <f t="shared" si="17"/>
        <v/>
      </c>
      <c r="J169" s="7"/>
      <c r="K169" s="7"/>
      <c r="L169" s="16"/>
      <c r="M169" s="16"/>
      <c r="N169" s="16"/>
      <c r="O169" s="7"/>
    </row>
    <row r="170" spans="1:15" x14ac:dyDescent="0.35">
      <c r="A170" s="7" t="str">
        <f t="shared" si="15"/>
        <v>J-169</v>
      </c>
      <c r="B170" s="7"/>
      <c r="C170" s="7"/>
      <c r="D170" s="7"/>
      <c r="E170" s="7"/>
      <c r="F170" s="16"/>
      <c r="G170" s="16"/>
      <c r="H170" s="16" t="str">
        <f t="shared" si="16"/>
        <v/>
      </c>
      <c r="I170" s="17" t="str">
        <f t="shared" si="17"/>
        <v/>
      </c>
      <c r="J170" s="7"/>
      <c r="K170" s="7"/>
      <c r="L170" s="16"/>
      <c r="M170" s="16"/>
      <c r="N170" s="16"/>
      <c r="O170" s="7"/>
    </row>
    <row r="171" spans="1:15" x14ac:dyDescent="0.35">
      <c r="A171" s="7" t="str">
        <f t="shared" si="15"/>
        <v>J-170</v>
      </c>
      <c r="B171" s="7"/>
      <c r="C171" s="7"/>
      <c r="D171" s="7"/>
      <c r="E171" s="7"/>
      <c r="F171" s="16"/>
      <c r="G171" s="16"/>
      <c r="H171" s="16" t="str">
        <f t="shared" si="16"/>
        <v/>
      </c>
      <c r="I171" s="17" t="str">
        <f t="shared" si="17"/>
        <v/>
      </c>
      <c r="J171" s="7"/>
      <c r="K171" s="7"/>
      <c r="L171" s="16"/>
      <c r="M171" s="16"/>
      <c r="N171" s="16"/>
      <c r="O171" s="7"/>
    </row>
    <row r="172" spans="1:15" x14ac:dyDescent="0.35">
      <c r="A172" s="7" t="str">
        <f t="shared" si="15"/>
        <v>J-171</v>
      </c>
      <c r="B172" s="7"/>
      <c r="C172" s="7"/>
      <c r="D172" s="7"/>
      <c r="E172" s="7"/>
      <c r="F172" s="16"/>
      <c r="G172" s="16"/>
      <c r="H172" s="16" t="str">
        <f t="shared" si="16"/>
        <v/>
      </c>
      <c r="I172" s="17" t="str">
        <f t="shared" si="17"/>
        <v/>
      </c>
      <c r="J172" s="7"/>
      <c r="K172" s="7"/>
      <c r="L172" s="16"/>
      <c r="M172" s="16"/>
      <c r="N172" s="16"/>
      <c r="O172" s="7"/>
    </row>
    <row r="173" spans="1:15" x14ac:dyDescent="0.35">
      <c r="A173" s="7" t="str">
        <f t="shared" si="15"/>
        <v>J-172</v>
      </c>
      <c r="B173" s="7"/>
      <c r="C173" s="7"/>
      <c r="D173" s="7"/>
      <c r="E173" s="7"/>
      <c r="F173" s="16"/>
      <c r="G173" s="16"/>
      <c r="H173" s="16" t="str">
        <f t="shared" si="16"/>
        <v/>
      </c>
      <c r="I173" s="17" t="str">
        <f t="shared" si="17"/>
        <v/>
      </c>
      <c r="J173" s="7"/>
      <c r="K173" s="7"/>
      <c r="L173" s="16"/>
      <c r="M173" s="16"/>
      <c r="N173" s="16"/>
      <c r="O173" s="7"/>
    </row>
    <row r="174" spans="1:15" x14ac:dyDescent="0.35">
      <c r="A174" s="7" t="str">
        <f t="shared" si="15"/>
        <v>J-173</v>
      </c>
      <c r="B174" s="7"/>
      <c r="C174" s="7"/>
      <c r="D174" s="7"/>
      <c r="E174" s="7"/>
      <c r="F174" s="16"/>
      <c r="G174" s="16"/>
      <c r="H174" s="16" t="str">
        <f t="shared" si="16"/>
        <v/>
      </c>
      <c r="I174" s="17" t="str">
        <f t="shared" si="17"/>
        <v/>
      </c>
      <c r="J174" s="7"/>
      <c r="K174" s="7"/>
      <c r="L174" s="16"/>
      <c r="M174" s="16"/>
      <c r="N174" s="16"/>
      <c r="O174" s="7"/>
    </row>
    <row r="175" spans="1:15" x14ac:dyDescent="0.35">
      <c r="A175" s="7" t="str">
        <f t="shared" si="15"/>
        <v>J-174</v>
      </c>
      <c r="B175" s="7"/>
      <c r="C175" s="7"/>
      <c r="D175" s="7"/>
      <c r="E175" s="7"/>
      <c r="F175" s="16"/>
      <c r="G175" s="16"/>
      <c r="H175" s="16" t="str">
        <f t="shared" si="16"/>
        <v/>
      </c>
      <c r="I175" s="17" t="str">
        <f t="shared" si="17"/>
        <v/>
      </c>
      <c r="J175" s="7"/>
      <c r="K175" s="7"/>
      <c r="L175" s="16"/>
      <c r="M175" s="16"/>
      <c r="N175" s="16"/>
      <c r="O175" s="7"/>
    </row>
    <row r="176" spans="1:15" x14ac:dyDescent="0.35">
      <c r="A176" s="7" t="str">
        <f t="shared" si="15"/>
        <v>J-175</v>
      </c>
      <c r="B176" s="7"/>
      <c r="C176" s="7"/>
      <c r="D176" s="7"/>
      <c r="E176" s="7"/>
      <c r="F176" s="16"/>
      <c r="G176" s="16"/>
      <c r="H176" s="16" t="str">
        <f t="shared" si="16"/>
        <v/>
      </c>
      <c r="I176" s="17" t="str">
        <f t="shared" si="17"/>
        <v/>
      </c>
      <c r="J176" s="7"/>
      <c r="K176" s="7"/>
      <c r="L176" s="16"/>
      <c r="M176" s="16"/>
      <c r="N176" s="16"/>
      <c r="O176" s="7"/>
    </row>
    <row r="177" spans="1:15" x14ac:dyDescent="0.35">
      <c r="A177" s="7" t="str">
        <f t="shared" si="15"/>
        <v>J-176</v>
      </c>
      <c r="B177" s="7"/>
      <c r="C177" s="7"/>
      <c r="D177" s="7"/>
      <c r="E177" s="7"/>
      <c r="F177" s="16"/>
      <c r="G177" s="16"/>
      <c r="H177" s="16" t="str">
        <f t="shared" si="16"/>
        <v/>
      </c>
      <c r="I177" s="17" t="str">
        <f t="shared" si="17"/>
        <v/>
      </c>
      <c r="J177" s="7"/>
      <c r="K177" s="7"/>
      <c r="L177" s="16"/>
      <c r="M177" s="16"/>
      <c r="N177" s="16"/>
      <c r="O177" s="7"/>
    </row>
    <row r="178" spans="1:15" x14ac:dyDescent="0.35">
      <c r="A178" s="7" t="str">
        <f t="shared" si="15"/>
        <v>J-177</v>
      </c>
      <c r="B178" s="7"/>
      <c r="C178" s="7"/>
      <c r="D178" s="7"/>
      <c r="E178" s="7"/>
      <c r="F178" s="16"/>
      <c r="G178" s="16"/>
      <c r="H178" s="16" t="str">
        <f t="shared" si="16"/>
        <v/>
      </c>
      <c r="I178" s="17" t="str">
        <f t="shared" si="17"/>
        <v/>
      </c>
      <c r="J178" s="7"/>
      <c r="K178" s="7"/>
      <c r="L178" s="16"/>
      <c r="M178" s="16"/>
      <c r="N178" s="16"/>
      <c r="O178" s="7"/>
    </row>
    <row r="179" spans="1:15" x14ac:dyDescent="0.35">
      <c r="A179" s="7" t="str">
        <f t="shared" si="15"/>
        <v>J-178</v>
      </c>
      <c r="B179" s="7"/>
      <c r="C179" s="7"/>
      <c r="D179" s="7"/>
      <c r="E179" s="7"/>
      <c r="F179" s="16"/>
      <c r="G179" s="16"/>
      <c r="H179" s="16" t="str">
        <f t="shared" si="16"/>
        <v/>
      </c>
      <c r="I179" s="17" t="str">
        <f t="shared" si="17"/>
        <v/>
      </c>
      <c r="J179" s="7"/>
      <c r="K179" s="7"/>
      <c r="L179" s="16"/>
      <c r="M179" s="16"/>
      <c r="N179" s="16"/>
      <c r="O179" s="7"/>
    </row>
    <row r="180" spans="1:15" x14ac:dyDescent="0.35">
      <c r="A180" s="7" t="str">
        <f t="shared" si="15"/>
        <v>J-179</v>
      </c>
      <c r="B180" s="7"/>
      <c r="C180" s="7"/>
      <c r="D180" s="7"/>
      <c r="E180" s="7"/>
      <c r="F180" s="16"/>
      <c r="G180" s="16"/>
      <c r="H180" s="16" t="str">
        <f t="shared" si="16"/>
        <v/>
      </c>
      <c r="I180" s="17" t="str">
        <f t="shared" si="17"/>
        <v/>
      </c>
      <c r="J180" s="7"/>
      <c r="K180" s="7"/>
      <c r="L180" s="16"/>
      <c r="M180" s="16"/>
      <c r="N180" s="16"/>
      <c r="O180" s="7"/>
    </row>
    <row r="181" spans="1:15" x14ac:dyDescent="0.35">
      <c r="A181" s="7" t="str">
        <f t="shared" si="15"/>
        <v>J-180</v>
      </c>
      <c r="B181" s="7"/>
      <c r="C181" s="7"/>
      <c r="D181" s="7"/>
      <c r="E181" s="7"/>
      <c r="F181" s="16"/>
      <c r="G181" s="16"/>
      <c r="H181" s="16" t="str">
        <f t="shared" si="16"/>
        <v/>
      </c>
      <c r="I181" s="17" t="str">
        <f t="shared" si="17"/>
        <v/>
      </c>
      <c r="J181" s="7"/>
      <c r="K181" s="7"/>
      <c r="L181" s="16"/>
      <c r="M181" s="16"/>
      <c r="N181" s="16"/>
      <c r="O181" s="7"/>
    </row>
    <row r="182" spans="1:15" x14ac:dyDescent="0.35">
      <c r="A182" s="7" t="str">
        <f t="shared" si="15"/>
        <v>J-181</v>
      </c>
      <c r="B182" s="7"/>
      <c r="C182" s="7"/>
      <c r="D182" s="7"/>
      <c r="E182" s="7"/>
      <c r="F182" s="16"/>
      <c r="G182" s="16"/>
      <c r="H182" s="16" t="str">
        <f t="shared" si="16"/>
        <v/>
      </c>
      <c r="I182" s="17" t="str">
        <f t="shared" si="17"/>
        <v/>
      </c>
      <c r="J182" s="7"/>
      <c r="K182" s="7"/>
      <c r="L182" s="16"/>
      <c r="M182" s="16"/>
      <c r="N182" s="16"/>
      <c r="O182" s="7"/>
    </row>
    <row r="183" spans="1:15" x14ac:dyDescent="0.35">
      <c r="A183" s="7" t="str">
        <f t="shared" si="15"/>
        <v>J-182</v>
      </c>
      <c r="B183" s="7"/>
      <c r="C183" s="7"/>
      <c r="D183" s="7"/>
      <c r="E183" s="7"/>
      <c r="F183" s="16"/>
      <c r="G183" s="16"/>
      <c r="H183" s="16" t="str">
        <f t="shared" si="16"/>
        <v/>
      </c>
      <c r="I183" s="17" t="str">
        <f t="shared" si="17"/>
        <v/>
      </c>
      <c r="J183" s="7"/>
      <c r="K183" s="7"/>
      <c r="L183" s="16"/>
      <c r="M183" s="16"/>
      <c r="N183" s="16"/>
      <c r="O183" s="7"/>
    </row>
    <row r="184" spans="1:15" x14ac:dyDescent="0.35">
      <c r="A184" s="7" t="str">
        <f t="shared" si="15"/>
        <v>J-183</v>
      </c>
      <c r="B184" s="7"/>
      <c r="C184" s="7"/>
      <c r="D184" s="7"/>
      <c r="E184" s="7"/>
      <c r="F184" s="16"/>
      <c r="G184" s="16"/>
      <c r="H184" s="16" t="str">
        <f t="shared" si="16"/>
        <v/>
      </c>
      <c r="I184" s="17" t="str">
        <f t="shared" si="17"/>
        <v/>
      </c>
      <c r="J184" s="7"/>
      <c r="K184" s="7"/>
      <c r="L184" s="16"/>
      <c r="M184" s="16"/>
      <c r="N184" s="16"/>
      <c r="O184" s="7"/>
    </row>
    <row r="185" spans="1:15" x14ac:dyDescent="0.35">
      <c r="A185" s="7" t="str">
        <f t="shared" si="15"/>
        <v>J-184</v>
      </c>
      <c r="B185" s="7"/>
      <c r="C185" s="7"/>
      <c r="D185" s="7"/>
      <c r="E185" s="7"/>
      <c r="F185" s="16"/>
      <c r="G185" s="16"/>
      <c r="H185" s="16" t="str">
        <f t="shared" si="16"/>
        <v/>
      </c>
      <c r="I185" s="17" t="str">
        <f t="shared" si="17"/>
        <v/>
      </c>
      <c r="J185" s="7"/>
      <c r="K185" s="7"/>
      <c r="L185" s="16"/>
      <c r="M185" s="16"/>
      <c r="N185" s="16"/>
      <c r="O185" s="7"/>
    </row>
    <row r="186" spans="1:15" x14ac:dyDescent="0.35">
      <c r="A186" s="7" t="str">
        <f t="shared" si="15"/>
        <v>J-185</v>
      </c>
      <c r="B186" s="7"/>
      <c r="C186" s="7"/>
      <c r="D186" s="7"/>
      <c r="E186" s="7"/>
      <c r="F186" s="16"/>
      <c r="G186" s="16"/>
      <c r="H186" s="16" t="str">
        <f t="shared" si="16"/>
        <v/>
      </c>
      <c r="I186" s="17" t="str">
        <f t="shared" si="17"/>
        <v/>
      </c>
      <c r="J186" s="7"/>
      <c r="K186" s="7"/>
      <c r="L186" s="16"/>
      <c r="M186" s="16"/>
      <c r="N186" s="16"/>
      <c r="O186" s="7"/>
    </row>
    <row r="187" spans="1:15" x14ac:dyDescent="0.35">
      <c r="A187" s="7" t="str">
        <f t="shared" si="15"/>
        <v>J-186</v>
      </c>
      <c r="B187" s="7"/>
      <c r="C187" s="7"/>
      <c r="D187" s="7"/>
      <c r="E187" s="7"/>
      <c r="F187" s="16"/>
      <c r="G187" s="16"/>
      <c r="H187" s="16" t="str">
        <f t="shared" si="16"/>
        <v/>
      </c>
      <c r="I187" s="17" t="str">
        <f t="shared" si="17"/>
        <v/>
      </c>
      <c r="J187" s="7"/>
      <c r="K187" s="7"/>
      <c r="L187" s="16"/>
      <c r="M187" s="16"/>
      <c r="N187" s="16"/>
      <c r="O187" s="7"/>
    </row>
    <row r="188" spans="1:15" x14ac:dyDescent="0.35">
      <c r="A188" s="7" t="str">
        <f t="shared" si="15"/>
        <v>J-187</v>
      </c>
      <c r="B188" s="7"/>
      <c r="C188" s="7"/>
      <c r="D188" s="7"/>
      <c r="E188" s="7"/>
      <c r="F188" s="16"/>
      <c r="G188" s="16"/>
      <c r="H188" s="16" t="str">
        <f t="shared" si="16"/>
        <v/>
      </c>
      <c r="I188" s="17" t="str">
        <f t="shared" si="17"/>
        <v/>
      </c>
      <c r="J188" s="7"/>
      <c r="K188" s="7"/>
      <c r="L188" s="16"/>
      <c r="M188" s="16"/>
      <c r="N188" s="16"/>
      <c r="O188" s="7"/>
    </row>
    <row r="189" spans="1:15" x14ac:dyDescent="0.35">
      <c r="A189" s="7" t="str">
        <f t="shared" si="15"/>
        <v>J-188</v>
      </c>
      <c r="B189" s="7"/>
      <c r="C189" s="7"/>
      <c r="D189" s="7"/>
      <c r="E189" s="7"/>
      <c r="F189" s="16"/>
      <c r="G189" s="16"/>
      <c r="H189" s="16" t="str">
        <f t="shared" si="16"/>
        <v/>
      </c>
      <c r="I189" s="17" t="str">
        <f t="shared" si="17"/>
        <v/>
      </c>
      <c r="J189" s="7"/>
      <c r="K189" s="7"/>
      <c r="L189" s="16"/>
      <c r="M189" s="16"/>
      <c r="N189" s="16"/>
      <c r="O189" s="7"/>
    </row>
    <row r="190" spans="1:15" x14ac:dyDescent="0.35">
      <c r="A190" s="7" t="str">
        <f t="shared" si="15"/>
        <v>J-189</v>
      </c>
      <c r="B190" s="7"/>
      <c r="C190" s="7"/>
      <c r="D190" s="7"/>
      <c r="E190" s="7"/>
      <c r="F190" s="16"/>
      <c r="G190" s="16"/>
      <c r="H190" s="16" t="str">
        <f t="shared" si="16"/>
        <v/>
      </c>
      <c r="I190" s="17" t="str">
        <f t="shared" si="17"/>
        <v/>
      </c>
      <c r="J190" s="7"/>
      <c r="K190" s="7"/>
      <c r="L190" s="16"/>
      <c r="M190" s="16"/>
      <c r="N190" s="16"/>
      <c r="O190" s="7"/>
    </row>
    <row r="191" spans="1:15" x14ac:dyDescent="0.35">
      <c r="A191" s="7" t="str">
        <f t="shared" si="15"/>
        <v>J-190</v>
      </c>
      <c r="B191" s="7"/>
      <c r="C191" s="7"/>
      <c r="D191" s="7"/>
      <c r="E191" s="7"/>
      <c r="F191" s="16"/>
      <c r="G191" s="16"/>
      <c r="H191" s="16" t="str">
        <f t="shared" si="16"/>
        <v/>
      </c>
      <c r="I191" s="17" t="str">
        <f t="shared" si="17"/>
        <v/>
      </c>
      <c r="J191" s="7"/>
      <c r="K191" s="7"/>
      <c r="L191" s="16"/>
      <c r="M191" s="16"/>
      <c r="N191" s="16"/>
      <c r="O191" s="7"/>
    </row>
    <row r="192" spans="1:15" x14ac:dyDescent="0.35">
      <c r="A192" s="7" t="str">
        <f t="shared" si="15"/>
        <v>J-191</v>
      </c>
      <c r="B192" s="7"/>
      <c r="C192" s="7"/>
      <c r="D192" s="7"/>
      <c r="E192" s="7"/>
      <c r="F192" s="16"/>
      <c r="G192" s="16"/>
      <c r="H192" s="16" t="str">
        <f t="shared" si="16"/>
        <v/>
      </c>
      <c r="I192" s="17" t="str">
        <f t="shared" si="17"/>
        <v/>
      </c>
      <c r="J192" s="7"/>
      <c r="K192" s="7"/>
      <c r="L192" s="16"/>
      <c r="M192" s="16"/>
      <c r="N192" s="16"/>
      <c r="O192" s="7"/>
    </row>
    <row r="193" spans="1:15" x14ac:dyDescent="0.35">
      <c r="A193" s="7" t="str">
        <f t="shared" si="15"/>
        <v>J-192</v>
      </c>
      <c r="B193" s="7"/>
      <c r="C193" s="7"/>
      <c r="D193" s="7"/>
      <c r="E193" s="7"/>
      <c r="F193" s="16"/>
      <c r="G193" s="16"/>
      <c r="H193" s="16" t="str">
        <f t="shared" si="16"/>
        <v/>
      </c>
      <c r="I193" s="17" t="str">
        <f t="shared" si="17"/>
        <v/>
      </c>
      <c r="J193" s="7"/>
      <c r="K193" s="7"/>
      <c r="L193" s="16"/>
      <c r="M193" s="16"/>
      <c r="N193" s="16"/>
      <c r="O193" s="7"/>
    </row>
    <row r="194" spans="1:15" x14ac:dyDescent="0.35">
      <c r="A194" s="7" t="str">
        <f t="shared" si="15"/>
        <v>J-193</v>
      </c>
      <c r="B194" s="7"/>
      <c r="C194" s="7"/>
      <c r="D194" s="7"/>
      <c r="E194" s="7"/>
      <c r="F194" s="16"/>
      <c r="G194" s="16"/>
      <c r="H194" s="16" t="str">
        <f t="shared" si="16"/>
        <v/>
      </c>
      <c r="I194" s="17" t="str">
        <f t="shared" si="17"/>
        <v/>
      </c>
      <c r="J194" s="7"/>
      <c r="K194" s="7"/>
      <c r="L194" s="16"/>
      <c r="M194" s="16"/>
      <c r="N194" s="16"/>
      <c r="O194" s="7"/>
    </row>
    <row r="195" spans="1:15" x14ac:dyDescent="0.35">
      <c r="A195" s="7" t="str">
        <f t="shared" ref="A195:A201" si="18">"J-"&amp;TEXT(ROW()-1,"000")</f>
        <v>J-194</v>
      </c>
      <c r="B195" s="7"/>
      <c r="C195" s="7"/>
      <c r="D195" s="7"/>
      <c r="E195" s="7"/>
      <c r="F195" s="16"/>
      <c r="G195" s="16"/>
      <c r="H195" s="16" t="str">
        <f t="shared" ref="H195:H201" si="19">IF(OR(L195="",M195=""),"",L195-M195)</f>
        <v/>
      </c>
      <c r="I195" s="17" t="str">
        <f t="shared" ref="I195:I201" si="20">IFERROR(N195/L195,"")</f>
        <v/>
      </c>
      <c r="J195" s="7"/>
      <c r="K195" s="7"/>
      <c r="L195" s="16"/>
      <c r="M195" s="16"/>
      <c r="N195" s="16"/>
      <c r="O195" s="7"/>
    </row>
    <row r="196" spans="1:15" x14ac:dyDescent="0.35">
      <c r="A196" s="7" t="str">
        <f t="shared" si="18"/>
        <v>J-195</v>
      </c>
      <c r="B196" s="7"/>
      <c r="C196" s="7"/>
      <c r="D196" s="7"/>
      <c r="E196" s="7"/>
      <c r="F196" s="16"/>
      <c r="G196" s="16"/>
      <c r="H196" s="16" t="str">
        <f t="shared" si="19"/>
        <v/>
      </c>
      <c r="I196" s="17" t="str">
        <f t="shared" si="20"/>
        <v/>
      </c>
      <c r="J196" s="7"/>
      <c r="K196" s="7"/>
      <c r="L196" s="16"/>
      <c r="M196" s="16"/>
      <c r="N196" s="16"/>
      <c r="O196" s="7"/>
    </row>
    <row r="197" spans="1:15" x14ac:dyDescent="0.35">
      <c r="A197" s="7" t="str">
        <f t="shared" si="18"/>
        <v>J-196</v>
      </c>
      <c r="B197" s="7"/>
      <c r="C197" s="7"/>
      <c r="D197" s="7"/>
      <c r="E197" s="7"/>
      <c r="F197" s="16"/>
      <c r="G197" s="16"/>
      <c r="H197" s="16" t="str">
        <f t="shared" si="19"/>
        <v/>
      </c>
      <c r="I197" s="17" t="str">
        <f t="shared" si="20"/>
        <v/>
      </c>
      <c r="J197" s="7"/>
      <c r="K197" s="7"/>
      <c r="L197" s="16"/>
      <c r="M197" s="16"/>
      <c r="N197" s="16"/>
      <c r="O197" s="7"/>
    </row>
    <row r="198" spans="1:15" x14ac:dyDescent="0.35">
      <c r="A198" s="7" t="str">
        <f t="shared" si="18"/>
        <v>J-197</v>
      </c>
      <c r="B198" s="7"/>
      <c r="C198" s="7"/>
      <c r="D198" s="7"/>
      <c r="E198" s="7"/>
      <c r="F198" s="16"/>
      <c r="G198" s="16"/>
      <c r="H198" s="16" t="str">
        <f t="shared" si="19"/>
        <v/>
      </c>
      <c r="I198" s="17" t="str">
        <f t="shared" si="20"/>
        <v/>
      </c>
      <c r="J198" s="7"/>
      <c r="K198" s="7"/>
      <c r="L198" s="16"/>
      <c r="M198" s="16"/>
      <c r="N198" s="16"/>
      <c r="O198" s="7"/>
    </row>
    <row r="199" spans="1:15" x14ac:dyDescent="0.35">
      <c r="A199" s="7" t="str">
        <f t="shared" si="18"/>
        <v>J-198</v>
      </c>
      <c r="B199" s="7"/>
      <c r="C199" s="7"/>
      <c r="D199" s="7"/>
      <c r="E199" s="7"/>
      <c r="F199" s="16"/>
      <c r="G199" s="16"/>
      <c r="H199" s="16" t="str">
        <f t="shared" si="19"/>
        <v/>
      </c>
      <c r="I199" s="17" t="str">
        <f t="shared" si="20"/>
        <v/>
      </c>
      <c r="J199" s="7"/>
      <c r="K199" s="7"/>
      <c r="L199" s="16"/>
      <c r="M199" s="16"/>
      <c r="N199" s="16"/>
      <c r="O199" s="7"/>
    </row>
    <row r="200" spans="1:15" x14ac:dyDescent="0.35">
      <c r="A200" s="7" t="str">
        <f t="shared" si="18"/>
        <v>J-199</v>
      </c>
      <c r="B200" s="7"/>
      <c r="C200" s="7"/>
      <c r="D200" s="7"/>
      <c r="E200" s="7"/>
      <c r="F200" s="16"/>
      <c r="G200" s="16"/>
      <c r="H200" s="16" t="str">
        <f t="shared" si="19"/>
        <v/>
      </c>
      <c r="I200" s="17" t="str">
        <f t="shared" si="20"/>
        <v/>
      </c>
      <c r="J200" s="7"/>
      <c r="K200" s="7"/>
      <c r="L200" s="16"/>
      <c r="M200" s="16"/>
      <c r="N200" s="16"/>
      <c r="O200" s="7"/>
    </row>
    <row r="201" spans="1:15" x14ac:dyDescent="0.35">
      <c r="A201" s="7" t="str">
        <f t="shared" si="18"/>
        <v>J-200</v>
      </c>
      <c r="B201" s="7"/>
      <c r="C201" s="7"/>
      <c r="D201" s="7"/>
      <c r="E201" s="7"/>
      <c r="F201" s="16"/>
      <c r="G201" s="16"/>
      <c r="H201" s="16" t="str">
        <f t="shared" si="19"/>
        <v/>
      </c>
      <c r="I201" s="17" t="str">
        <f t="shared" si="20"/>
        <v/>
      </c>
      <c r="J201" s="7"/>
      <c r="K201" s="7"/>
      <c r="L201" s="16"/>
      <c r="M201" s="16"/>
      <c r="N201" s="16"/>
      <c r="O201" s="7"/>
    </row>
  </sheetData>
  <dataValidations count="2">
    <dataValidation type="list" allowBlank="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xr:uid="{00000000-0002-0000-0600-000000000000}">
      <formula1>"Quoted,Booked,In Production,Complete,Delivered,Lost"</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600-000001000000}">
      <formula1>"REJECT / REPRICE,REVIEW,GOOD,STRONG"</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showGridLines="0" workbookViewId="0">
      <selection sqref="A1:J1"/>
    </sheetView>
  </sheetViews>
  <sheetFormatPr defaultRowHeight="14.5" x14ac:dyDescent="0.35"/>
  <cols>
    <col min="1" max="1" width="20" customWidth="1"/>
    <col min="2" max="10" width="18" customWidth="1"/>
  </cols>
  <sheetData>
    <row r="1" spans="1:10" ht="23.5" x14ac:dyDescent="0.35">
      <c r="A1" s="47" t="s">
        <v>407</v>
      </c>
      <c r="B1" s="26"/>
      <c r="C1" s="26"/>
      <c r="D1" s="26"/>
      <c r="E1" s="26"/>
      <c r="F1" s="26"/>
      <c r="G1" s="26"/>
      <c r="H1" s="26"/>
      <c r="I1" s="26"/>
      <c r="J1" s="26"/>
    </row>
    <row r="3" spans="1:10" x14ac:dyDescent="0.35">
      <c r="A3" s="1" t="s">
        <v>379</v>
      </c>
      <c r="C3" s="1" t="s">
        <v>380</v>
      </c>
      <c r="E3" s="1" t="s">
        <v>381</v>
      </c>
      <c r="G3" s="1" t="s">
        <v>382</v>
      </c>
      <c r="I3" s="1" t="s">
        <v>383</v>
      </c>
    </row>
    <row r="4" spans="1:10" x14ac:dyDescent="0.35">
      <c r="A4" s="18">
        <f>COUNTIF('Job Tracker'!K:K,"Quoted")</f>
        <v>1</v>
      </c>
      <c r="C4" s="18">
        <f>COUNTIF('Job Tracker'!K:K,"Booked")</f>
        <v>0</v>
      </c>
      <c r="E4" s="19">
        <f>SUM('Job Tracker'!F:F)</f>
        <v>400</v>
      </c>
      <c r="G4" s="19">
        <f>SUM('Job Tracker'!L:L)</f>
        <v>0</v>
      </c>
      <c r="I4" s="20">
        <f>IFERROR(SUM('Job Tracker'!N:N)/SUM('Job Tracker'!L:L),0)</f>
        <v>0</v>
      </c>
    </row>
    <row r="6" spans="1:10" x14ac:dyDescent="0.35">
      <c r="A6" s="1" t="s">
        <v>384</v>
      </c>
      <c r="C6" s="1" t="s">
        <v>385</v>
      </c>
      <c r="E6" s="1" t="s">
        <v>386</v>
      </c>
      <c r="G6" s="1" t="s">
        <v>376</v>
      </c>
      <c r="I6" s="1" t="s">
        <v>387</v>
      </c>
    </row>
    <row r="7" spans="1:10" x14ac:dyDescent="0.35">
      <c r="A7" s="18">
        <f>COUNTIF('Job Tracker'!J:J,"STRONG")</f>
        <v>1</v>
      </c>
      <c r="C7" s="18">
        <f>COUNTIF('Job Tracker'!J:J,"REJECT / REPRICE")+COUNTIF('Job Tracker'!J:J,"REVIEW")</f>
        <v>0</v>
      </c>
      <c r="E7" s="18">
        <f>COUNTIF('Job Tracker'!K:K,"Complete")+COUNTIF('Job Tracker'!K:K,"Delivered")</f>
        <v>0</v>
      </c>
      <c r="G7" s="19">
        <f>SUM('Job Tracker'!N:N)</f>
        <v>0</v>
      </c>
      <c r="I7" s="19">
        <f>IFERROR(AVERAGEIF('Job Tracker'!F:F,"&gt;0"),0)</f>
        <v>400</v>
      </c>
    </row>
    <row r="10" spans="1:10" x14ac:dyDescent="0.35">
      <c r="A10" s="5" t="s">
        <v>388</v>
      </c>
      <c r="B10" s="5" t="s">
        <v>389</v>
      </c>
      <c r="D10" s="5" t="s">
        <v>372</v>
      </c>
      <c r="E10" s="5" t="s">
        <v>389</v>
      </c>
    </row>
    <row r="11" spans="1:10" x14ac:dyDescent="0.35">
      <c r="A11" t="s">
        <v>108</v>
      </c>
      <c r="B11">
        <f>COUNTIF('Vehicle Data'!B:B,A11)</f>
        <v>4</v>
      </c>
      <c r="D11" t="s">
        <v>390</v>
      </c>
      <c r="E11">
        <f>COUNTIF('Job Tracker'!J:J,D11)</f>
        <v>1</v>
      </c>
    </row>
    <row r="12" spans="1:10" x14ac:dyDescent="0.35">
      <c r="A12" t="s">
        <v>52</v>
      </c>
      <c r="B12">
        <f>COUNTIF('Vehicle Data'!B:B,A12)</f>
        <v>17</v>
      </c>
      <c r="D12" t="s">
        <v>391</v>
      </c>
      <c r="E12">
        <f>COUNTIF('Job Tracker'!J:J,D12)</f>
        <v>0</v>
      </c>
    </row>
    <row r="13" spans="1:10" x14ac:dyDescent="0.35">
      <c r="A13" t="s">
        <v>60</v>
      </c>
      <c r="B13">
        <f>COUNTIF('Vehicle Data'!B:B,A13)</f>
        <v>21</v>
      </c>
      <c r="D13" t="s">
        <v>392</v>
      </c>
      <c r="E13">
        <f>COUNTIF('Job Tracker'!J:J,D13)</f>
        <v>0</v>
      </c>
    </row>
    <row r="14" spans="1:10" x14ac:dyDescent="0.35">
      <c r="A14" t="s">
        <v>68</v>
      </c>
      <c r="B14">
        <f>COUNTIF('Vehicle Data'!B:B,A14)</f>
        <v>20</v>
      </c>
      <c r="D14" t="s">
        <v>393</v>
      </c>
      <c r="E14">
        <f>COUNTIF('Job Tracker'!J:J,D14)</f>
        <v>0</v>
      </c>
    </row>
    <row r="15" spans="1:10" x14ac:dyDescent="0.35">
      <c r="A15" t="s">
        <v>76</v>
      </c>
      <c r="B15">
        <f>COUNTIF('Vehicle Data'!B:B,A15)</f>
        <v>13</v>
      </c>
    </row>
    <row r="16" spans="1:10" x14ac:dyDescent="0.35">
      <c r="A16" t="s">
        <v>83</v>
      </c>
      <c r="B16">
        <f>COUNTIF('Vehicle Data'!B:B,A16)</f>
        <v>19</v>
      </c>
    </row>
    <row r="17" spans="1:2" x14ac:dyDescent="0.35">
      <c r="A17" t="s">
        <v>91</v>
      </c>
      <c r="B17">
        <f>COUNTIF('Vehicle Data'!B:B,A17)</f>
        <v>30</v>
      </c>
    </row>
    <row r="18" spans="1:2" x14ac:dyDescent="0.35">
      <c r="A18" t="s">
        <v>100</v>
      </c>
      <c r="B18">
        <f>COUNTIF('Vehicle Data'!B:B,A18)</f>
        <v>21</v>
      </c>
    </row>
  </sheetData>
  <mergeCells count="1">
    <mergeCell ref="A1:J1"/>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1"/>
  <sheetViews>
    <sheetView workbookViewId="0"/>
  </sheetViews>
  <sheetFormatPr defaultRowHeight="14.5" x14ac:dyDescent="0.35"/>
  <cols>
    <col min="1" max="1" width="100" customWidth="1"/>
  </cols>
  <sheetData>
    <row r="1" spans="1:1" ht="21" x14ac:dyDescent="0.5">
      <c r="A1" s="67" t="s">
        <v>420</v>
      </c>
    </row>
    <row r="3" spans="1:1" x14ac:dyDescent="0.35">
      <c r="A3" t="s">
        <v>394</v>
      </c>
    </row>
    <row r="4" spans="1:1" x14ac:dyDescent="0.35">
      <c r="A4" t="s">
        <v>395</v>
      </c>
    </row>
    <row r="5" spans="1:1" x14ac:dyDescent="0.35">
      <c r="A5" t="s">
        <v>396</v>
      </c>
    </row>
    <row r="6" spans="1:1" x14ac:dyDescent="0.35">
      <c r="A6" t="s">
        <v>397</v>
      </c>
    </row>
    <row r="7" spans="1:1" x14ac:dyDescent="0.35">
      <c r="A7" t="s">
        <v>398</v>
      </c>
    </row>
    <row r="8" spans="1:1" x14ac:dyDescent="0.35">
      <c r="A8" t="s">
        <v>399</v>
      </c>
    </row>
    <row r="9" spans="1:1" x14ac:dyDescent="0.35">
      <c r="A9" t="s">
        <v>400</v>
      </c>
    </row>
    <row r="11" spans="1:1" x14ac:dyDescent="0.35">
      <c r="A11" t="s">
        <v>406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Front Desk</vt:lpstr>
      <vt:lpstr>Vehicle Data</vt:lpstr>
      <vt:lpstr>Rates</vt:lpstr>
      <vt:lpstr>Shop Settings</vt:lpstr>
      <vt:lpstr>AddOns</vt:lpstr>
      <vt:lpstr>Quote Output</vt:lpstr>
      <vt:lpstr>Job Tracker</vt:lpstr>
      <vt:lpstr>Dashboard</vt:lpstr>
      <vt:lpstr>Read Me</vt:lpstr>
      <vt:lpstr>'Front Desk'!Print_Area</vt:lpstr>
      <vt:lpstr>'Quote Output'!Print_Area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musso</cp:lastModifiedBy>
  <dcterms:created xsi:type="dcterms:W3CDTF">2026-03-18T18:32:11Z</dcterms:created>
  <dcterms:modified xsi:type="dcterms:W3CDTF">2026-03-19T21:06:25Z</dcterms:modified>
</cp:coreProperties>
</file>